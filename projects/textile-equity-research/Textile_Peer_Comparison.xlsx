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Peer Comparison" sheetId="2" state="visible" r:id="rId4"/>
    <sheet name="Industry Overview" sheetId="3" state="visible" r:id="rId5"/>
    <sheet name="Company Notes"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R5" authorId="0">
      <text>
        <r>
          <rPr>
            <sz val="10"/>
            <rFont val="Arial"/>
            <family val="2"/>
          </rPr>
          <t xml:space="preserve">screener.in, moneycontrol.com, trendlyne.com, tijorifinance.com, ticker.finology.in, indmoney.com and vardhman.com were all blocked by the network egress proxy in this environment, so figures below are synthesized from WebSearch result snippets (which themselves often quote/paraphrase screener.in and other aggregators) rather than direct verified page reads — treat as reasonably reliable but not independently cross-checked against primary filings. Debt-to-equity (0.10), ROE (8.29%) and ROCE (8.86%) are approximate consensus values pieced together from conflicting snippets (sources showed ROE ranging 7.0%-8.93% and ROCE ranging 8.14%-9.9% across different quarters/TTM windows) — treat as indicative, not precise. 3-year sales and profit CAGR could not be reliably sourced (only a "poor 5-year</t>
        </r>
      </text>
    </comment>
    <comment ref="R8" authorId="0">
      <text>
        <r>
          <rPr>
            <sz val="10"/>
            <rFont val="Arial"/>
            <family val="2"/>
          </rPr>
          <t xml:space="preserve">Direct page fetches to screener.in, moneycontrol.com, trendlyne.com, tickertape.in, stockanalysis.com, equitybulls.com, business-standard.com and whalesbook.com were all blocked by network egress restrictions in this environment, so every figure below is derived from WebSearch snippet aggregation of these and secondary financial-news sites rather than a direct read of the primary page — Jaimin should spot-check the key numbers against screener.in or Raymond Lifestyle's investor-relations page (raymondlifestyle.com/disclosures) before using this in a client-facing report. Revenue (₹6,888 Cr) is FY26 consolidated "revenue from operations"; several sources instead quote FY26 "Total Income" of ₹7,034 Cr — net margin would be ~0.66% on that base instead of 0.67%. ROE (0.83%) and ROCE (1.33%) ar</t>
        </r>
      </text>
    </comment>
    <comment ref="S5" authorId="0">
      <text>
        <r>
          <rPr>
            <sz val="10"/>
            <rFont val="Arial"/>
            <family val="2"/>
          </rPr>
          <t xml:space="preserve">screener.in, moneycontrol.com, trendlyne.com, tijorifinance.com, ticker.finology.in, indmoney.com and vardhman.com were all blocked by the network egress proxy in this environment, so figures below are synthesized from WebSearch result snippets (which themselves often quote/paraphrase screener.in and other aggregators) rather than direct verified page reads — treat as reasonably reliable but not independently cross-checked against primary filings. Debt-to-equity (0.10), ROE (8.29%) and ROCE (8.86%) are approximate consensus values pieced together from conflicting snippets (sources showed ROE ranging 7.0%-8.93% and ROCE ranging 8.14%-9.9% across different quarters/TTM windows) — treat as indicative, not precise. 3-year sales and profit CAGR could not be reliably sourced (only a "poor 5-year</t>
        </r>
      </text>
    </comment>
    <comment ref="S8" authorId="0">
      <text>
        <r>
          <rPr>
            <sz val="10"/>
            <rFont val="Arial"/>
            <family val="2"/>
          </rPr>
          <t xml:space="preserve">Direct page fetches to screener.in, moneycontrol.com, trendlyne.com, tickertape.in, stockanalysis.com, equitybulls.com, business-standard.com and whalesbook.com were all blocked by network egress restrictions in this environment, so every figure below is derived from WebSearch snippet aggregation of these and secondary financial-news sites rather than a direct read of the primary page — Jaimin should spot-check the key numbers against screener.in or Raymond Lifestyle's investor-relations page (raymondlifestyle.com/disclosures) before using this in a client-facing report. Revenue (₹6,888 Cr) is FY26 consolidated "revenue from operations"; several sources instead quote FY26 "Total Income" of ₹7,034 Cr — net margin would be ~0.66% on that base instead of 0.67%. ROE (0.83%) and ROCE (1.33%) ar</t>
        </r>
      </text>
    </comment>
  </commentList>
</comments>
</file>

<file path=xl/sharedStrings.xml><?xml version="1.0" encoding="utf-8"?>
<sst xmlns="http://schemas.openxmlformats.org/spreadsheetml/2006/main" count="266" uniqueCount="183">
  <si>
    <t xml:space="preserve">Indian Textile Industry</t>
  </si>
  <si>
    <t xml:space="preserve">Equity Research – Peer Comparison Workbook</t>
  </si>
  <si>
    <t xml:space="preserve">As of: August 2026</t>
  </si>
  <si>
    <t xml:space="preserve">Companies covered: Vardhman Textiles Ltd, Trident Limited, Welspun Living Ltd, Raymond Lifestyle Ltd, Arvind Limited, K.P.R. Mill Limited, Page Industries Limited, Gokaldas Exports Ltd</t>
  </si>
  <si>
    <t xml:space="preserve">Disclaimer</t>
  </si>
  <si>
    <t xml:space="preserve">Prepared as a CA articleship practice exercise. Data was gathered from public secondary sources (financial news, brokerage result notes, and data aggregators) via web search; primary aggregators such as screener.in and moneycontrol.com were unreachable from the research environment, so several figures are estimates reconciled across sources rather than direct pulls. See each company's confidenceNotes for specifics. This is not investment advice and should not be relied upon for investment decisions without independent verification against company filings and a live market data source.</t>
  </si>
  <si>
    <t xml:space="preserve">Sheets in this workbook</t>
  </si>
  <si>
    <t xml:space="preserve">1. Peer Comparison – valuation, profitability, growth and leverage across all 8 companies, with comparison charts</t>
  </si>
  <si>
    <t xml:space="preserve">2. Industry Overview – market size, export data, demand drivers, risks and government policy</t>
  </si>
  <si>
    <t xml:space="preserve">3. Company Notes – business summary, recent developments, key risks and sources per company</t>
  </si>
  <si>
    <t xml:space="preserve">Peer Comparison – Indian Listed Textile Companies</t>
  </si>
  <si>
    <t xml:space="preserve">Figures are per-company latest available fiscal year (see column D); market data (CMP, market cap, P/E, 52-week range) as of August 2026. Blue cells are sourced inputs – see the Company Notes sheet for sources and confidence notes.</t>
  </si>
  <si>
    <t xml:space="preserve">Company</t>
  </si>
  <si>
    <t xml:space="preserve">NSE Ticker</t>
  </si>
  <si>
    <t xml:space="preserve">Segment</t>
  </si>
  <si>
    <t xml:space="preserve">Fiscal Year</t>
  </si>
  <si>
    <t xml:space="preserve">CMP (₹)</t>
  </si>
  <si>
    <t xml:space="preserve">Market Cap (₹ Cr)</t>
  </si>
  <si>
    <t xml:space="preserve">P/E (x)</t>
  </si>
  <si>
    <t xml:space="preserve">P/S (x)</t>
  </si>
  <si>
    <t xml:space="preserve">52W High (₹)</t>
  </si>
  <si>
    <t xml:space="preserve">52W Low (₹)</t>
  </si>
  <si>
    <t xml:space="preserve">Revenue (₹ Cr)</t>
  </si>
  <si>
    <t xml:space="preserve">Net Profit (₹ Cr)</t>
  </si>
  <si>
    <t xml:space="preserve">OPM (%)</t>
  </si>
  <si>
    <t xml:space="preserve">NPM (%)</t>
  </si>
  <si>
    <t xml:space="preserve">ROE (%)</t>
  </si>
  <si>
    <t xml:space="preserve">ROCE (%)</t>
  </si>
  <si>
    <t xml:space="preserve">D/E (x)</t>
  </si>
  <si>
    <t xml:space="preserve">Sales CAGR 3Y (%)</t>
  </si>
  <si>
    <t xml:space="preserve">Profit CAGR 3Y (%)</t>
  </si>
  <si>
    <t xml:space="preserve">Div Yield (%)</t>
  </si>
  <si>
    <t xml:space="preserve">Promoter Hold (%)</t>
  </si>
  <si>
    <t xml:space="preserve">Vardhman Textiles Ltd</t>
  </si>
  <si>
    <t xml:space="preserve">VTL</t>
  </si>
  <si>
    <t xml:space="preserve">Yarn &amp; spinning, woven fabric (grey and processed), with garments, acrylic fibre and sewing thread as adjacent segments</t>
  </si>
  <si>
    <t xml:space="preserve">FY2025-26 (year ended 31 March 2026)</t>
  </si>
  <si>
    <t xml:space="preserve">n/a</t>
  </si>
  <si>
    <t xml:space="preserve">Trident Limited</t>
  </si>
  <si>
    <t xml:space="preserve">TRIDENT</t>
  </si>
  <si>
    <t xml:space="preserve">Home textiles (terry towel &amp; bed linen) and Yarn, plus a Paper (wheat-straw based) segment</t>
  </si>
  <si>
    <t xml:space="preserve">Welspun Living Ltd</t>
  </si>
  <si>
    <t xml:space="preserve">WELSPUNLIV</t>
  </si>
  <si>
    <t xml:space="preserve">Home textiles (terry towels, bed &amp; bath linen) with a growing flooring (carpets/rugs) segment</t>
  </si>
  <si>
    <t xml:space="preserve">FY2025-26 (April 2025 - March 2026)</t>
  </si>
  <si>
    <t xml:space="preserve">Raymond Lifestyle Ltd</t>
  </si>
  <si>
    <t xml:space="preserve">RAYMONDLSL</t>
  </si>
  <si>
    <t xml:space="preserve">Branded apparel &amp; fabric (menswear) with export garment manufacturing</t>
  </si>
  <si>
    <t xml:space="preserve">Arvind Limited</t>
  </si>
  <si>
    <t xml:space="preserve">ARVIND</t>
  </si>
  <si>
    <t xml:space="preserve">Denim, woven fabric &amp; garments (Textiles) plus Advanced Materials (protective/industrial/technical fabrics) — an integrated textile manufacturer spanning fabric to garment, with a growing technical-textiles export arm</t>
  </si>
  <si>
    <t xml:space="preserve">K.P.R. Mill Limited</t>
  </si>
  <si>
    <t xml:space="preserve">KPRMILL</t>
  </si>
  <si>
    <t xml:space="preserve">Vertically integrated textiles (spinning/yarn, knitted fabric, knitted garment exports) plus a sugar &amp; ethanol/green-energy segment</t>
  </si>
  <si>
    <t xml:space="preserve">Page Industries Limited</t>
  </si>
  <si>
    <t xml:space="preserve">PAGEIND</t>
  </si>
  <si>
    <t xml:space="preserve">Innerwear, leisurewear &amp; athleisure (Jockey/Speedo brand licensee)</t>
  </si>
  <si>
    <t xml:space="preserve">Gokaldas Exports Ltd</t>
  </si>
  <si>
    <t xml:space="preserve">GOKEX</t>
  </si>
  <si>
    <t xml:space="preserve">Garment exports — woven &amp; knits (apparel manufacturing: fashion wear, outerwear, bottomwear, casualwear, sportswear)</t>
  </si>
  <si>
    <t xml:space="preserve">Average</t>
  </si>
  <si>
    <t xml:space="preserve">Median</t>
  </si>
  <si>
    <t xml:space="preserve">Peer Comparison Charts</t>
  </si>
  <si>
    <t xml:space="preserve">Indian Textile &amp; Apparel Industry – Overview</t>
  </si>
  <si>
    <t xml:space="preserve">Domestic Market Size</t>
  </si>
  <si>
    <t xml:space="preserve">India's domestic textile &amp; apparel market is estimated at approximately US$190 billion (₹16.66 lakh crore) in FY2025-26 per IBEF/PIB data. The industry contributes about 2% of India's GDP and roughly 11% of manufacturing Gross Value Added (GVA), employs over 45 million people directly, and produces about 22,000 million garments annually. The government's stated ambition is to grow the combined domestic-plus-export industry to US$350 billion by 2030 (a 10% CAGR from the current base), positioning India as the world's second-largest textile/garment producer and third-largest exporter with a 4.6% share of global trade.</t>
  </si>
  <si>
    <t xml:space="preserve">Export Value</t>
  </si>
  <si>
    <t xml:space="preserve">US$32.63 billion in textile, apparel and handicraft exports for FY26 (April 2025-February 2026, 11-month figure), per Ministry of Textiles/IBEF data reported August 2026; Ready-Made Garments (RMG) contributed US$15.77bn (44% share), Cotton Textiles US$10.25bn (29%), Man-Made Textiles US$5.23bn (15%). In rupee terms, textile exports (excluding handicrafts) grew 2.1% YoY to ₹3.16 lakh crore in FY26, with RMG up 2.9% to ₹1,39,349.6 crore. Government's stated target is US$100 billion in textile &amp; apparel exports by 2030 (from a base of roughly US$35-38bn), implying a required ~19% CAGR.</t>
  </si>
  <si>
    <t xml:space="preserve">Domestic vs Export Split</t>
  </si>
  <si>
    <t xml:space="preserve">Roughly 80:20 in favour of domestic consumption. The domestic textile &amp; apparel market is estimated at about ₹16.66 lakh crore (~US$190 billion) in FY2025-26 (IBEF/PIB), versus FY26 (Apr'25-Feb'26) exports of textiles, apparel and handicrafts of US$32.63 billion (full-year run-rate roughly US$35-38 billion). Government targets a US$350 billion total industry size (domestic + exports) by 2030, with exports rising to US$100 billion (a ~19% CAGR ask) and domestic market to ~US$350 billion scale contribution — implying the domestic market will continue to be the larger driver of overall industry growth even as export ambitions rise.</t>
  </si>
  <si>
    <t xml:space="preserve">Growth Outlook</t>
  </si>
  <si>
    <t xml:space="preserve">Government and industry bodies (Ministry of Textiles, IBEF) target a 10% CAGR for the overall textile &amp; apparel industry through 2030, taking it from roughly US$190bn (domestic) plus ~US$35-38bn (exports) today to a combined US$350bn industry with US$100bn in exports by 2030 — the export leg implying an aggressive ~19% CAGR that looks stretched given FY26's modest 2.1% export growth and the US tariff overhang. CRISIL's more granular FY27 outlook is constructive for specific sub-segments: cotton-yarn makers' revenue is projected to rise 9-11% in FY27 as export-oriented downstream segments (RMG, home textiles) regain momentum amid easing trade disruptions, with margins expanding 150-250bps. The domestic apparel market itself is forecast at a more modest 3-4% CAGR by some market-research houses (IMARC, Expert Market Research) through the early 2030s, though other estimates citing rising middle-class incomes, e-commerce penetration and urbanization put underlying domestic consumption growth nearer 10-12%. Near-term (FY26-FY27), the sector's trajectory is unusually tariff-dependent: the swing from a 50% US tariff (H1 2026) to an 18% negotiated rate (post Feb 2026 interim deal) is the single largest variable for export-oriented listed players, with a full EU FTA still pending as a further potential upside catalyst.</t>
  </si>
  <si>
    <t xml:space="preserve">Competitive Landscape</t>
  </si>
  <si>
    <t xml:space="preserve">India remains the world's second-largest textile/garment producer and third-largest exporter (~4.6% share of global trade), but has lost relative cost competitiveness in 2026 after the US imposed a punitive 50% tariff (25% reciprocal + 25% penalty tied to Russian oil purchases) on Indian goods through much of H1 2026, versus Bangladesh and Vietnam at roughly 10-20%. This caused a reported ~28.7% YoY drop in US imports from India (OTEXA data) and diverted fast-fashion/basics orders to Bangladesh (which saw June 2026 exports to the US up 5.7% YoY) and Vietnam (H1 2026 exports up 1.7% to $22.2bn, aided by a flat 10% Section 122 surcharge after a US Supreme Court ruling struck down the harsher IEEPA tariff). A Feb 6, 2026 India-US interim trade framework cut the reciprocal tariff to 18% for textiles/apparel/made-ups, narrowing but not closing the gap with Bangladesh and Vietnam; China remains the highest-cost source due to stacked Section 301 duties on top of the 10% baseline. India's structural strengths (raw cotton base, full value chain from fibre to garment, and PLI-backed MMF/technical-textile capacity) support long-term positioning versus Bangladesh (cotton-apparel-focused, import-dependent on fabric) and Vietnam (higher-value, China-input-dependent, exposed to transshipment penalties), but near-term order flow favors Bangladesh and Vietnam until India's tariff parity holds and an EU FTA (still pending) is concluded.</t>
  </si>
  <si>
    <t xml:space="preserve">Raw Material Trends</t>
  </si>
  <si>
    <t xml:space="preserve">Cotton: India set MSPs for the 2026-27 cotton season (announced end-July 2026) with Suvin ELS cotton at the highest support of ₹9,867/quintal and other varieties from ₹7,767 to ₹9,867/quintal; aggressive CCI (Cotton Corporation of India) procurement at these MSP levels has pushed open-market/mill procurement costs up even as open-market prices trade below MSP for lower grades, squeezing spinning-mill margins on quality/availability mismatches. Cotton prices were range-bound but firming through Q1 2026 (~$1,715/MT in Feb 2026) on planting-uncertainty and input-cost pressure. CCI resumes MSP-linked procurement from October 1, 2026 whenever market prices fall below notified MSP. Man-made fibres (MMF): polyester (77.5% of MMF volumes) and viscose (~16.5%) have shown mixed/firming trends through 2026, with rising crude-linked feedstock costs (PTA showing particular upstream strength) pushing polyester-chain prices higher even as MEG stayed comparatively stable; viscose has alternated between tight-supply firmness and periods of easing on weak downstream/apparel demand. Net effect: raw-material cost volatility (especially MSP-driven cotton costs) is compressing spinning/weaving margins, though CRISIL projects cotton-yarn makers' revenue to rebound 9-11% in FY27 on higher exports (12-14% export revenue growth) and better realisations (6-8% yarn price gains), with margins expected to expand 150-250bps as cotton-yarn spreads improve.</t>
  </si>
  <si>
    <t xml:space="preserve">Key Demand Drivers</t>
  </si>
  <si>
    <t xml:space="preserve">•</t>
  </si>
  <si>
    <t xml:space="preserve">Rising disposable incomes and an expanding middle class driving discretionary apparel spend</t>
  </si>
  <si>
    <t xml:space="preserve">Rapid e-commerce and organized/omnichannel retail penetration widening access beyond metros</t>
  </si>
  <si>
    <t xml:space="preserve">Urbanization and increasing fashion consciousness amplified by social media and global fashion exposure</t>
  </si>
  <si>
    <t xml:space="preserve">Government-backed manufacturing push (PLI, PM MITRA parks, Make in India) expanding domestic capacity in MMF and technical textiles</t>
  </si>
  <si>
    <t xml:space="preserve">Growing technical textiles demand from infrastructure, healthcare, automotive and agriculture end-uses (National Technical Textiles Mission)</t>
  </si>
  <si>
    <t xml:space="preserve">Post-tariff-deal (Feb 2026, 18% US reciprocal rate) partial recovery in export order flow, and diversification toward EU, UK and non-US markets</t>
  </si>
  <si>
    <t xml:space="preserve">Rising sustainable/eco-conscious apparel demand, growing at an estimated ~20% CAGR off a small base</t>
  </si>
  <si>
    <t xml:space="preserve">FTAs and trade diversification efforts (UK FTA implementation, pursuit of an EU deal) opening preferential-access export channels</t>
  </si>
  <si>
    <t xml:space="preserve">Key Risks</t>
  </si>
  <si>
    <t xml:space="preserve">US tariff volatility: the 50% punitive tariff through H1 2026 (partly tied to India's Russian oil purchases) caused a reported ~28.7% YoY drop in US imports from India; even after the Feb 2026 cut to 18%, India remains priced 30-35% higher than Bangladesh/Vietnam on some product lines, risking permanent order diversion</t>
  </si>
  <si>
    <t xml:space="preserve">Cotton price/MSP pressure: aggressive CCI procurement at high MSPs is pushing raw-material costs above what open-market/export-linked mills can absorb, squeezing spinning and weaving margins</t>
  </si>
  <si>
    <t xml:space="preserve">Volatile crude-linked MMF feedstock costs (PTA, polyester chain) creating input-cost unpredictability for synthetic and blended textile producers</t>
  </si>
  <si>
    <t xml:space="preserve">Intensifying competition from Bangladesh (near-zero-tariff US access under 10%) and Vietnam (10% flat Section 122 rate) for basics and fast-fashion orders</t>
  </si>
  <si>
    <t xml:space="preserve">Small and micro exporters (per AEPC) are disproportionately exposed to US tariff shocks and have limited ability to absorb margin compression or diversify markets quickly</t>
  </si>
  <si>
    <t xml:space="preserve">Execution risk on PM MITRA parks and PLI scheme: only a fraction of planned investment realized so far (~₹8,118 crore under PLI against a ₹10,683 crore outlay; PM MITRA parks still at DPR/approval stages for several sites) — delays could push back capacity-driven export gains</t>
  </si>
  <si>
    <t xml:space="preserve">Global demand softness/buyer risk-aversion, with CITI (Confederation of Indian Textile Industry) flagging exporters balancing pricing, volumes and margins amid cautious global buyers</t>
  </si>
  <si>
    <t xml:space="preserve">Currency and geopolitical risk (e.g., West Asia conflict raising freight/input costs and denting polyester-yarn volumes by 2-3%)</t>
  </si>
  <si>
    <t xml:space="preserve">Government Policy Support</t>
  </si>
  <si>
    <t xml:space="preserve">PLI Scheme for Textiles: ₹10,683 crore outlay over 5 years covering MMF apparel, MMF fabrics and technical textile products; as of March 31, 2026, 170 companies approved with ₹8,117.64 crore invested and 33,427 new jobs created (per Ministry of Textiles/PIB data)</t>
  </si>
  <si>
    <t xml:space="preserve">PM MITRA (Mega Integrated Textile Region and Apparel) Parks: 7 greenfield parks approved across Tamil Nadu, Telangana, Gujarat, Karnataka, Madhya Pradesh, Uttar Pradesh and Maharashtra, with a government outlay of ₹4,445 crore (2021-22 to 2027-28); DPRs worth ₹5,567 crore cleared for 3 parks, with Lucknow (UP) and Navsari (Gujarat) clearing PPP Appraisal Committee approval in June 2026; total investment interest received across all parks stands at ₹63,177 crore, each park expected to draw ~₹10,000 crore investment and generate ~1 lakh direct plus 2 lakh indirect jobs</t>
  </si>
  <si>
    <t xml:space="preserve">RoDTEP (Remission of Duties and Taxes on Exported Products): scheme extended through September 30, 2026 at rates/value caps in force as of March 31, 2026 (textile/apparel lines carry roughly 3-4% rates); rates were briefly cut 50% from Feb 23, 2026 before being restored to pre-cut levels effective March 23, 2026 as a cushion against the US tariff shock</t>
  </si>
  <si>
    <t xml:space="preserve">National Technical Textiles Mission (NTTM): includes grants of up to ₹50 lakh each to 150 startups (announced 2025, rolling out through 2026) to spur innovation in high-performance fabrics (Kevlar, Nomex, Spandex-type materials); technical textiles market targeted to grow from ~US$29-45 billion currently toward US$123 billion by 2035 and US$309 billion by 2047</t>
  </si>
  <si>
    <t xml:space="preserve">India-US Interim Trade Framework (announced Feb 6, 2026): cuts US reciprocal tariff on Indian textiles, apparel and made-ups from a punitive 50% (25% reciprocal + 25% penalty) to 18%, alongside a five-year US$500 billion Indian purchase commitment; full bilateral deal still being negotiated</t>
  </si>
  <si>
    <t xml:space="preserve">Cotton MSP policy: Minimum Support Prices for FAQ cotton varieties for the 2026-27 season notified end-July 2026 (₹7,767-₹9,867/quintal depending on variety), with CCI procurement resuming October 1, 2026 whenever market prices fall below MSP</t>
  </si>
  <si>
    <t xml:space="preserve">Overall industry target: Ministry of Textiles/Government of India target of US$350 billion combined industry size and US$100 billion in exports by 2030</t>
  </si>
  <si>
    <t xml:space="preserve">Sources</t>
  </si>
  <si>
    <t xml:space="preserve">https://www.ibef.org/industry/textiles</t>
  </si>
  <si>
    <t xml:space="preserve">https://www.ibef.org/news/india-s-textile-industry-poised-to-achieve-us-350-billion-target-by-2030</t>
  </si>
  <si>
    <t xml:space="preserve">https://www.pib.gov.in/PressReleasePage.aspx?PRID=2117470&amp;reg=3&amp;lang=2</t>
  </si>
  <si>
    <t xml:space="preserve">https://www.fibre2fashion.com/news/textile-news/india-s-textile-exports-rise-2-1-in-fy26-ftas-to-boost-outlook--309856-newsdetails.htm</t>
  </si>
  <si>
    <t xml:space="preserve">https://www.business-standard.com/markets/capital-market-news/textile-exports-up-2-1-in-fy26-126042200444_1.html</t>
  </si>
  <si>
    <t xml:space="preserve">https://knnindia.co.in/news/newsdetails/sectors/textilegarmentshandicraft/mos-textiles-outlines-support-for-artisans-updates-on-pli-scheme-pm-mitra-parks</t>
  </si>
  <si>
    <t xml:space="preserve">https://www.socialnews.xyz/2026/07/21/pli-scheme-for-textiles-attracts-rs-8118-crore-investment-creates-over-33400-jobs-centre/</t>
  </si>
  <si>
    <t xml:space="preserve">https://www.technicaltextiles.in/pm-mitra-parks-updates/</t>
  </si>
  <si>
    <t xml:space="preserve">https://citiindia.org/cir050-2026-july-31-2026-announcement-of-minimum-support-price-msp-for-cotton-for-cotton-season-2026-27-reg/</t>
  </si>
  <si>
    <t xml:space="preserve">https://www.fibre2fashion.com/news/textile-news/higher-msp-may-put-india-s-cotton-trade-under-pressure-312381-newsdetails.htm</t>
  </si>
  <si>
    <t xml:space="preserve">https://www.fibre2fashion.com/news/company-news/textile-news/indian-cotton-yarn-makers-revenue-to-rise-9-11-in-fy27-crisil-312110-newsdetails.htm</t>
  </si>
  <si>
    <t xml:space="preserve">https://www.textiletoday.com.bd/us-tariffs-reshape-asian-apparel-sourcing-and-test-bangladeshs-advantage</t>
  </si>
  <si>
    <t xml:space="preserve">https://wwd.com/sourcing-journal/trade/asia-sourcing-trade-tariffs-ustr-section-301-vietnam-india-bangladesh-sri-lanka-1239083884/</t>
  </si>
  <si>
    <t xml:space="preserve">https://www.indmoney.com/blog/stocks/us-50-tariff-shock-what-it-means-for-india-s-textile-exports</t>
  </si>
  <si>
    <t xml:space="preserve">https://www.deccanherald.com/amp/story/business%2F50-us-tariff-on-indian-apparel-exports-could-be-death-knell-for-small-firms-aepc-3670074</t>
  </si>
  <si>
    <t xml:space="preserve">https://www.india-briefing.com/news/us-india-interim-trade-agreement-18-percent-tariff-42514.html/</t>
  </si>
  <si>
    <t xml:space="preserve">https://www.newsonair.gov.in/india-us-trade-deal-opens-118-billion-global-textile-market-government</t>
  </si>
  <si>
    <t xml:space="preserve">https://citiindia.org/cir029-2026-24-march-2026-restoration-of-rodtep-rates-reg/</t>
  </si>
  <si>
    <t xml:space="preserve">https://textileinsights.in/government-extends-rodtep-scheme-till-september-2026/</t>
  </si>
  <si>
    <t xml:space="preserve">https://www.technicaltextiles.in/india-technical-textile-market-to-reach-usd-30-34-billion-by-2035-driven-by-infrastructure-healthcare-and-automotive-demand/</t>
  </si>
  <si>
    <t xml:space="preserve">https://www.investindia.gov.in/siru/technical-textiles-future-textiles</t>
  </si>
  <si>
    <t xml:space="preserve">https://www.imarcgroup.com/indian-textiles-apparel-market</t>
  </si>
  <si>
    <t xml:space="preserve">https://www.fibre2fashion.com/news/textile-news/polyester-raw-material-viscose-prices-rise-further-in-indian-market-310073-newsdetails.htm</t>
  </si>
  <si>
    <t xml:space="preserve">https://citiindia.org/statistics/indias-textile-and-apparel-exports/</t>
  </si>
  <si>
    <t xml:space="preserve">https://www.tribuneindia.com/news/business/india-poised-to-double-ready-made-garments-market-share-to-12-in-uk-in-near-term-careedge</t>
  </si>
  <si>
    <t xml:space="preserve">https://www.business-standard.com/markets/capital-market-news/india-s-share-of-global-trade-in-textiles-and-apparel-stands-at-3-9-125010200344_1.html</t>
  </si>
  <si>
    <t xml:space="preserve">Company Notes – Business Summary, Developments, Risks &amp; Sources</t>
  </si>
  <si>
    <t xml:space="preserve">Business Summary</t>
  </si>
  <si>
    <t xml:space="preserve">Vardhman Textiles Ltd, part of the Ludhiana-based Vardhman Group founded by the Oswal family, is one of India's largest vertically integrated textile companies spanning yarn (spinning), greige and processed fabrics, acrylic fibre, sewing thread and garments. It runs 18+ manufacturing units across four states (Punjab, Himachal Pradesh, Madhya Pradesh, etc.) with roughly 1.0-1.2 million spindles, ~670 MT/day yarn capacity, weaving capacity of ~193-220 million metres per annum (MMPA) and fabric processing capacity of ~180-206 MMPA, making it among the top 3 woven fabric manufacturers in India. Products are exported to over 75 countries (Bangladesh alone historically ~50% of yarn exports; the US is a major fabric/garment export market), alongside a large domestic sales base, giving a mixed export-domestic revenue profile weighted toward fabric/garment exports and yarn sold both domestically and abroad.</t>
  </si>
  <si>
    <t xml:space="preserve">Recent Developments</t>
  </si>
  <si>
    <t xml:space="preserve">FY26 (year ended March 2026) consolidated revenue was roughly flat (~10,093 Cr, -0.3% YoY) while consolidated PAT fell ~15% YoY to ~753 Cr (standalone PAT 740 Cr) on margin pressure from a weaker fabric division amid US tariff uncertainty and cotton cost volatility; Q4 FY26 PAT fell ~22% YoY to ~185-189 Cr on an EBITDA margin of ~11.8%. The Board (7 May 2026) recommended a final dividend of Rs 5/share and confirmed capitalisation of ~570 Cr of new assets in Q4, including a new technical textiles plant at Baddi (Himachal Pradesh, ~15 lakh metres/month, commercial production from 1 March 2026) and an expanded processing line at the Budhni (MP) facility (processed fabric capacity raised from ~175 to ~206 MMPA, commercial production from 7 March 2026) as part of a broader ~2,350 Cr expansion program (~2,000 Cr in spinning/weaving/technical textiles plus ~350 Cr at Budhni) announced since May 2024. The stock rallied sharply through 2025-26 (touching decade/all-time highs) after the US-India trade deal cut the US reciprocal tariff on Indian goods from 25% to 18%, easing a key overhang for exporters. Q1 FY27 (June 2026 quarter) showed a strong rebound: revenue up ~13% YoY to ~2,648 Cr, consolidated PAT up ~41-51% YoY to ~285-315 Cr, EBITDA margin expanding ~295 bps to ~19.4%, driven by full capacity utilisation and favourable trading gains in spinning, even as the fabric division stayed muted on delayed US orders (management expects recovery within 2-3 months).</t>
  </si>
  <si>
    <t xml:space="preserve">High dependence on volatile cotton prices (India's MSP-driven cotton is often priced above landed cost of Vietnamese/Indonesian cotton, squeezing spinning margins) combined with monsoon/crop-yield risk given India supplies ~25% of global cotton. Significant exposure to US and Bangladesh export markets creates geopolitical/tariff risk (US reciprocal tariffs on Indian textiles, and Bangladesh transit/logistics disruptions affecting ~50% of yarn exports historically) plus intense low-cost competition from Bangladesh, Vietnam, China and other South/Southeast Asian producers amid chronic sector overcapacity in yarn and greige fabric that periodically triggers price wars. Returns metrics (ROE ~7-9%, ROCE ~8-10%) have trended down from historical mid-teens levels, and large ongoing capex (~2,350 Cr program) carries execution and ramp-up/utilisation risk for the new Baddi and Budhni capacities.</t>
  </si>
  <si>
    <t xml:space="preserve">Data As Of</t>
  </si>
  <si>
    <t xml:space="preserve">CMP/market cap/P/E as of 5-11 August 2026; 52-week range and shareholding as of Q3 FY26 (Dec 2025) / Aug 2026; financial results (revenue, PAT, margins, ROE, ROCE) for FY2025-26 (year ended 31 March 2026), reported May 2026</t>
  </si>
  <si>
    <t xml:space="preserve">Confidence Notes</t>
  </si>
  <si>
    <t xml:space="preserve">screener.in, moneycontrol.com, trendlyne.com, tijorifinance.com, ticker.finology.in, indmoney.com and vardhman.com were all blocked by the network egress proxy in this environment, so figures below are synthesized from WebSearch result snippets (which themselves often quote/paraphrase screener.in and other aggregators) rather than direct verified page reads — treat as reasonably reliable but not independently cross-checked against primary filings. Debt-to-equity (0.10), ROE (8.29%) and ROCE (8.86%) are approximate consensus values pieced together from conflicting snippets (sources showed ROE ranging 7.0%-8.93% and ROCE ranging 8.14%-9.9% across different quarters/TTM windows) — treat as indicative, not precise. 3-year sales and profit CAGR could not be reliably sourced (only a "poor 5-year sales growth of ~9.96%" and a "-5% 1-year revenue CAGR, -14% EBITDA CAGR" figure for FY24 were found, which are not the requested 3-year metric) — set to null per instructions rather than guessed. Revenue/PAT figures mix consolidated (10,092.53 Cr revenue / 753.20 Cr PAT) and standalone (9,652.33 Cr revenue / 740.02 Cr PAT) reporting across sources; consolidated figures were used as the primary numbers. OPM (15.1%) and NPM (7.5%) are FY26 full-year figures per one source (marketsmojo-derived) but quarterly OPM within FY26 ranged 11.8%-14.2%, indicating some inconsistency across sources. Dividend yield shown (0.81%) vs an alternate figure of 0.76% found elsewhere — both are close, minor variance likely due to timing of price used. Book value and face value were not confirmed. Given the CA-articleship context, Jaimin should treat these as a solid first-pass dataset to be verified against the FY25-26 Annual Report / screener.in (accessed directly, outside this blocked environment) before use in a client-facing peer comparison report.</t>
  </si>
  <si>
    <t xml:space="preserve">https://www.screener.in/company/VTL/consolidated/
https://www.vardhman.com/Document/Report/Investor%20Help/Investor/Vardhman%20Textiles%20Ltd/Investor_Presentation_-_4QFY26.pdf
https://www.investywise.com/vardhman-textiles-limited-annual-financial-results-and-dividend-announcement/
https://www.investywise.com/vardhman-textiles-q4-and-fy26-earnings-presentation/
https://www.freepressjournal.in/business/vardhman-textiles-q4-net-profit-falls-22-per-cent-to-185-crore-board-recommends-5-dividend
https://www.equitybulls.com/category.php?id=373667
https://scanx.trade/stock-market-news/companies/vardhman-textiles-schedules-board-meeting-on-may-7-2026-to-approve-fy26-financial-results-and-dividend/39420497
https://tradebrains.in/vardhman-textiles-hits-decade-highs-in-fy26-board-declares-5-dividend-and-signals-major-expansion/
https://trendlyne.com/equity/share-holding/1504/VTL/latest/vardhman-textiles-ltd/
https://www.marketsmojo.com/news/result-analysis/vardhman-textiles-q4-fy26-margin-pressures-persist-despite-modest-profit-recovery-3980371
https://www.marketsmojo.com/news/result-analysis/vardhman-textiles-q2-fy26-margin-pressures-cloud-profitability-despite-revenue-stability-3640061
https://www.equitymaster.com/research-it/annual-results-analysis/MHSP/VARDHMAN-TEXTILES-2023-24-Annual-Report-Analysis/11280
https://www.indmoney.com/blog/stocks/us-50-tariff-shock-what-it-means-for-india-s-textile-exports
https://upstox.com/news/market-news/stocks/gokaldas-exports-vardhman-textiles-trident-textile-stocks-zoom-20-as-us-lowers-tariffs-to-18-details-to-know/article-188829/
https://www.indiantextilemagazine.in/vardhman-textiles-massive-expansion-plan-to-strengthen-market-leadership/
https://apparelresources.com/business-news/manufacturing/vardhman-textiles-begins-commercial-production-baddi-technical-textiles-facility/
https://globaltextilesource.com/news/vardhman-textiles-to-expand-processed-fabric-capacity-at-budhni-unit
https://www.ibef.org/industry/textiles/showcase/vardhman-textiles
https://www.4textile.com/textile-company/vardhman-textiles-ltd-ludhiana/
https://scanx.trade/stock-market-news/companies/vardhman-textiles-q1-results-concall-audio-released-for-investors/47227743</t>
  </si>
  <si>
    <t xml:space="preserve">Trident Ltd is the flagship company of the Trident Group (Punjab-based, founder-promoter Rajinder Gupta), a vertically integrated textile and paper manufacturer. It makes cotton yarn, terry towels/bath linen, bed linen, and wheat-straw-based paper, with plants concentrated at Barnala (Punjab) and Budni (Madhya Pradesh). As of March 31, 2026 installed capacity was ~7.97 lakh spindles (yarn), 90,000 MTPA bath linen, 63.87 million metres bed linen, and 1,75,000 MTPA paper — it markets itself as having the world's largest single-location terry towel manufacturing capacity. Exports account for roughly 52-53% of revenue (150+ countries, chiefly US and EU), while the legacy yarn business still contributes about a third of overall revenue.</t>
  </si>
  <si>
    <t xml:space="preserve">FY26 full-year (ended Mar-2026) consolidated revenue was ~₹6,775 Cr (down ~4% YoY) with net profit of ~₹377 Cr (up ~2% YoY); EBITDA slipped to ₹951 Cr from ₹971 Cr in FY25 and net debt rose to ₹975 Cr from ₹895 Cr as capex ramped up. Quarter-to-quarter the year was volatile: Q1 FY26 (Jun-2025) saw a sharp YoY profit jump on strong yarn-segment performance and optimism around the India-UK FTA; Q3 FY26 (Dec-2025) saw margin pressure as raw-material costs rose ~18% even as yarn revenue surged; Q4 FY26 (Mar-2026) profit rebounded sharply sequentially even as revenue stayed soft YoY. An interim dividend of ₹0.50/share was paid during the year. In November 2025 the company announced a ₹2,000 Cr expansion in Punjab — ₹1,500 Cr at Barnala to scale up terry-towel capacity and modernize the paper unit, plus ₹500 Cr for a new Mohali corporate office/capability centre — layered on an earlier ₹1,000 Cr sustainability/modernization capex plan unveiled at Bharat Tex 2025, all framed around a stated ambition of roughly 3x growth by 2027. Management has cited India's ~18% negotiated US tariff on home-textile exports (versus ~19-20% for Bangladesh/Vietnam) as a relative competitive opening being used to justify the capacity build-out.</t>
  </si>
  <si>
    <t xml:space="preserve">(1) Heavy export dependence (~52-53% of revenue, concentrated in the US and EU) leaves earnings exposed to US tariff/trade-policy shifts — the Section 122 tariff regime and reciprocal-tariff litigation remain unsettled, and margins are already described as "wafer-thin" for Indian exporters. (2) Raw-material price volatility — cotton for yarn/textiles and pulp/wheat-straw for paper — has repeatedly compressed operating margins (e.g., raw-material costs up ~18% in a recent quarter). (3) The yarn business (~34% of revenue) is commodity-like and highly cyclical, producing lumpy quarter-to-quarter profit swings and a negative reported 3-year profit CAGR (likely reflecting a high FY22 cotton-price-boom base rather than a structural decline). (4) Rising debt and execution risk around the newly announced ₹2,000 Cr Punjab capex amid already-thin ROE/ROCE (~9-11%). (5) INR/USD currency exposure given the large export book.</t>
  </si>
  <si>
    <t xml:space="preserve">Market data (CMP/market cap/P/E/52-week range) as of ~18 August 2026; financials are for FY2025-26 (year ended 31 March 2026), the latest full fiscal year reported</t>
  </si>
  <si>
    <t xml:space="preserve">Figures were cross-checked across multiple secondary aggregators since direct screener.in access was blocked by the network proxy (relied on search-engine snippets of screener.in instead of the live page). CMP (₹24.94), market cap (₹12,652 Cr) and P/E (33.55) are internally consistent (implied shares outstanding ~507 Cr and implied net profit ~₹377 Cr match the reported FY26 PAT), giving reasonably high confidence in that cluster. Some figures showed genuine spread across sources and should be treated as approximate: 52-week high was reported as both ₹30.94 and ₹33.66 depending on source/date — used the figure paired with the same CMP/mcap dataset; dividend yield ranged 1.48%-2.03% across sources; P/B ranged 2.62-2.90; TTM/annual net profit was reported variously as ₹370-404 Cr depending on the exact trailing window used (FY24 ~₹350 Cr, FY25 ~₹370 Cr, FY26 ~₹377 Cr, one TTM cut ~₹395-404 Cr) — I used the officially announced FY26 (Apr'25-Mar'26) full-year figure of ₹377 Cr net profit / ₹6,775 Cr revenue as the primary "latest full fiscal year" figures. One search result (freepressjournal, Q3 FY26) reported quarterly revenue of "₹15,745 Cr" and 9-month revenue of "₹50,685 Cr" — these are almost certainly a decimal/unit error (roughly 10x too high given full-year revenue is only ₹6,775 Cr) and were NOT used; I relied instead on the full-year Q4/FY26 result announcements (equitybulls/investywise) which are internally consistent. ROE (9.61%), ROCE (10.73%) and debt-to-equity (0.22) came from a single aggregator (search-snippet, likely trendlyne/tijori-derived) and are broadly consistent with net-debt (₹975 Cr) versus an implied equity base (~₹4,300-4,800 Cr from market-cap/P-B), but were not independently verified against a primary filing. 3-year sales CAGR (8.19%) and especially 3-year profit CAGR (-23.36%) should be treated cautiously — the negative profit CAGR likely reflects an elevated FY22/23 cotton-price-boom base year rather than an ongoing decline, since FY24→FY26 profits were roughly flat-to-slightly-up. No paid/subscription sources or company filings (BSE/NSE XBRL, annual report) were opened directly; all data is from public news/aggregator search snippets.</t>
  </si>
  <si>
    <t xml:space="preserve">https://www.screener.in/company/TRIDENT/consolidated/
https://www.tickertape.in/stocks/trident-TRIE
https://www.investywise.com/trident-limited-q4-fy26-financial-results/
https://www.equitybulls.com/category.php?id=371163
https://www.marketsmojo.com/news/result-analysis/trident-ltd-q4-fy26-profit-surges-130-qoq-but-revenue-decline-raises-concerns-4001003
https://www.tijorifinance.com/company/trident-limited/
https://www.moneyworks4me.com/indianstocks/small-cap/textiles-apparels/textile-spinning/trident/company-info
https://www.tipranks.com/stocks/in:trident/financials/ratios
https://www.businesstoday.in/markets/stocks/story/trident-group-announces-rs-2000-crore-expansion-in-punjab-check-stock-reaction-503192-2025-11-21
https://www.tribuneindia.com/news/business/trident-aims-for-3x-growth-by-2027-with-inr-1000-crore-capex-plan-for-sustainability-and-modernization-unveils-ambitious-plans-at-bharat-tex-2025/
https://www.fibre2fashion.com/news/company-news/textile-news/india-s-trident-group-s-fy26-net-profit-rises-as-revenue-declines-310432-newsdetails.htm
https://www.indiantextilemagazine.in/trident-massive-capacity-expansion-underway/
https://trendlyne.com/fundamentals/financial-ratios/1415/TRIDENT/trident-ltd/
https://www.freepressjournal.in/business/trident-q3-fy26-net-profit-stands-at-442-crore-revenue-at-15745-crore
https://www.business-standard.com/amp/markets/capital-market-news/trident-consolidated-net-profit-rises-89-83-in-the-june-2025-quarter-125072500162_1.html
https://scanx.trade/stock-market-news/companies/trident-q1fy26-net-profit-rises-49-8-to-1-580-9-million/46289526</t>
  </si>
  <si>
    <t xml:space="preserve">Welspun Living Ltd, part of the Welspun Group, is one of the world's largest home-textile manufacturers, making terry towels, bed &amp; bath linen, and other home textile products, plus a flooring/carpets &amp; rugs business. Manufacturing is concentrated at Anjar (Gujarat, hub for bed sheets and terry towels), Vapi (Gujarat, terry towels and rugs), and a Telangana facility for advanced textiles and flooring; installed cotton terry-towel capacity is about 23,500 MTPA. The company is historically export-heavy, with roughly 60% of revenue from outside India and the US alone historically accounting for ~59-65% of sales, though management is now explicitly pursuing diversification toward domestic India and non-US markets (targeting non-US revenue above 50%, versus ~41% currently). Home textiles is the dominant segment (~90%+ of revenue), with flooring a smaller (~8-10%) but faster-growing contributor.</t>
  </si>
  <si>
    <t xml:space="preserve">FY2025-26 was a sharply weaker year: consolidated revenue fell to ₹9,399 crore from ₹10,545 crore in FY25 (-11%), and PAT collapsed to ₹212.89 crore from ₹644 crore (-67%), driven by US tariff escalation (rates swung from ~10% to as high as 50% and back down during 2025-26), cautious US customer ordering, and West Asia-related disruption. Q2 FY26 (Sep-25 qtr) was the trough: revenue -16.4% YoY to ₹2,456 crore and PAT crashed 93% to ₹13 crore on a 6.8% EBITDA margin. Q3 FY26 (Dec-25 qtr) saw revenue still down ~10% YoY but EBITDA margin recovering to 7.7%, with management citing new India-US and India-EU trade agreements as a structural positive for India's sourcing competitiveness. Q4 FY26 (Mar-26 qtr) revenue was ₹2,435 crore (-8% YoY, +7.7% QoQ) with PAT of ~₹104 crore; the board approved a ₹252 crore buyback (1.44 crore shares at ₹175/share), settled and shares extinguished in June 2026. The turnaround became visible in Q1 FY2026-27 (Jun-26 qtr, reported 13-Aug-2026): revenue jumped ~24% YoY to ~₹2,795-2,828 crore and PAT rose ~83-84% YoY to ~₹161 crore, with EBITDA margin expanding to ~12.5% on volume recovery, better mix, and cost actions; home textiles grew ~26% YoY and flooring ~7% YoY. The stock hit a fresh 52-week high (~₹182.8-182.9) on 18-Aug-2026 following this print. Capex for FY26 was ~₹472 crore, with ₹400-500 crore guided for FY27, largely for automation, modernisation and debottlenecking (including an Anjar facility modernisation program).</t>
  </si>
  <si>
    <t xml:space="preserve">Heavy revenue concentration in exports and specifically the US market (historically ~60-65% of sales) leaves earnings highly exposed to US tariff policy swings and order deferrals/inventory corrections by large US retail customers, as starkly illustrated by the FY26 profit collapse and subsequent Q1 FY27 rebound. Raw material cost volatility (cotton prices and crude-linked synthetic fibre costs both rose materially during FY26) creates ongoing margin uncertainty. Quarterly earnings have shown extreme swings within FY26 (a &gt;90% profit decline in one quarter followed by an 84% YoY jump two quarters later), indicating limited near-term earnings visibility and high operating leverage against a large fixed-cost/capex base. Geopolitical and logistics disruption (West Asia conflict was cited as an FY26 headwind) and currency/freight volatility add further risk given the export-oriented model.</t>
  </si>
  <si>
    <t xml:space="preserve">Market data (CMP, market cap, P/E, 52-week range) as of approximately 19-20 August 2026; financial metrics are FY2025-26 (year ended 31-Mar-2026) annual results announced 15-May-2026, with the most recent quarter being Q1 FY2026-27 (Apr-Jun 2026) reported 13-Aug-2026; shareholding pattern as of the June 2026 quarter.</t>
  </si>
  <si>
    <t xml:space="preserve">screener.in, moneycontrol.com, and tickertape.in were all blocked by the network egress proxy in this environment, so figures were triangulated from web search snippets and secondary aggregators (business-standard, marketsmojo, univest, moneyworks4me, simplywall.st-derived search results, scanx.trade, investywise) rather than fetched directly from a single primary source — cross-check against screener.in/moneycontrol is recommended before using in a formal report. ROE/ROCE in particular vary widely by source (search results returned figures from ~4.5% to ~13.8% depending on whether the period was FY26-only, TTM, or a 3-year average) because FY26 profit collapsed to ₹213 crore from ₹644 crore in FY25 before rebounding sharply in Q1 FY27; the 4.51%/5.8% figures used here are the FY26 full-year figures and understate the company's more normal ~11-13% run-rate ROE/ROCE seen in FY24-25 and implied by the Q1 FY27 recovery. Debt-to-equity (0.68) and market cap/P/E carry similar cross-source variance (market cap was seen quoted anywhere from ~₹13,300 crore in May 2026 to ~₹17,050 crore in August 2026, partly reflecting the ₹252 crore/1.44 crore-share buyback completed in June 2026 which changed the share count) — treat as approximate. Dividend yield (0.95%) is computed from the last declared dividend of ₹1.70/share (record date 27-Jun-2025, paid Oct-2025) against the current CMP; it does not capture the additional capital returned via the FY26 buyback. 3-year profit CAGR (~1.6%) is heavily depressed by the FY26 tariff-driven earnings collapse (FY23 PAT ₹203cr vs FY26 PAT ₹213cr) and should be read alongside the sharp Q1 FY27 earnings recovery rather than as a steady trend. Export/domestic revenue split figures came from slightly inconsistent secondary reporting (ranging ~59-65% US/export dependence) and should be verified against the company's own investor presentation for precision.</t>
  </si>
  <si>
    <t xml:space="preserve">https://www.screener.in/company/WELSPUNLIV/consolidated/
https://blinkx.in/stocks-screener/welspun-living-ltd
https://univest.in/blogs/why-welspun-living-ltd-share-price-52-week-high-2026-08-18-3
https://univest.in/blogs/why-welspun-living-ltd-share-price-rise-2026-08-14
https://hdfcsky.com/news/welspun-livings-june-quarter-profit-down-by-52-8-percent
https://www.business-standard.com/amp/markets/news/welspun-living-jump-12-as-q1-profit-rose-83-mofsl-flags-volume-recovery-126081401033_1.html
https://getmoneyrich.com/welspun-livings-q1-results/
https://scanx.trade/stock-market-news/companies/welspun-board-meets-may-22-to-consider-fy26-audited-results/40757249
https://www.investywise.com/welspun-living-limited-q4-fy26-financials-buyback-and-management-change/
https://www.business-standard.com/companies/quarterly-results/welspun-living-q4-fy26-results-net-profit-down-20-at-106-cr-126051500965_1.html
https://www.business-standard.com/markets/capital-market-news/welspun-living-consolidated-net-profit-declines-21-33-in-the-march-2026-quarter-126051501043_1.html
https://www.marketsmojo.com/news/result-analysis/welspun-living-q4-fy26-margin-recovery-drives-profit-surge-despite-revenue-headwinds-3993447
https://www.multibagg.ai/market-pulse/articles/welspun-living-q4fy26-profit-buyback-cmp6tslkt019pnv0jw1a4fh3y
https://www.moneyworks4me.com/indianstocks/small-cap/textiles-apparels/textile/welspun-living/company-info
https://www.icicidirect.com/stocks/welspun-living-ltd-share-price
https://www.indiantextilemagazine.in/welspun-living-achieves-record-revenue-and-announces-major-expansion-projects/
https://www.welspunliving.com/businesses
https://www.welspunliving.com/about-us
https://www.allvest.co/stocks/welspun-living-limited
https://trendlyne.com/equity/share-holding/1518/WELSPUNLIV/latest/welspun-living-ltd/
https://www.marketsmojo.com/stocks-analysis/financial-shareholding/welspun-living-234124-0
https://www.indmoney.com/stocks/dividend/welspun-living-ltd-dividend
https://trendlyne.com/equity/Dividend/WELSPUNLIV/1518/welspun-living-ltd-dividend/
https://www.marketsmojo.com/news/result-analysis/welspun-living-q2-fy26-profit-plunges-935-as-margins-collapse-under-operational-stress-3697475
https://www.investywise.com/welspun-living-q3-fy26-earnings-presentation/
https://scanx.trade/stock-market-news/earnings/welspun-living-reports-q2-fy26-results-revenue-declines-amid-global-tariff-headwinds/24557670
https://businessupturn.com/finance/stock-market/quarterly-results/welspun-living-q1-results-net-profit-jumps-84-yoy-to-rs-160-7-crore-revenue-rises-24/
https://www.freepressjournal.in/business/welspun-living-profit-jumps-82-to-1626-crore-in-q1-fy27-revenue-rises-24
https://www.whalesbook.com/corporate-news/English/consumer-products/Welspun-Living-Q1-FY27-Revenue-Jumps-235percent-to-Rs-2795-Cr-Profit-Up-836percent/6a7da22b6817e697e7c88e05
https://www.whalesbook.com/news/English/stock-investment-ideas/Welspun-Living-Hits-52-Week-High-After-Q1-Profit-Jump/6a86557d84d2dd5c12dc90f0
https://www.goodreturns.in/news/welspun-living-raymond-arvind-pearl-global-crash-7-as-trump-s-25-tariff-jolts-indian-textile-stocks-1446385.html
https://in.apparelresources.com/business-news/retail/welspun-world-turns-india-domestic-expansion-global-success/
https://textileinsights.in/welspun-living-q1-revenue-at-rs-2289-cr-domestic-sales-up-9-5/</t>
  </si>
  <si>
    <t xml:space="preserve">Raymond Lifestyle Ltd (RLL) is India's leading branded textile and apparel company, demerged from Raymond Ltd and listed separately on NSE/BSE in September 2024. It holds the largest market share in India's worsted suiting fabric industry and owns brands Raymond, Park Avenue, ColorPlus, Parx, Raymond Ready-to-Wear and Ethnix. Fabric manufacturing is spread across Vapi (Gujarat), Chhindwara (MP) and Jalgaon (Maharashtra) plants with combined worsted suiting capacity of ~43 million metres, plus a Kolhapur (Maharashtra) high-value cotton/linen shirting plant with ~26 million metre capacity. Its export-oriented Garmenting business (white-labelled manufacturing via subsidiaries Silver Spark Apparel, EverBlue Apparel and Celebrations Apparel) runs four plants in Bengaluru with combined annual capacity of ~2.2 million tailored jackets, 2.4 million trousers and 2.4 million shirts, plus a new Ethiopia plant (2.6 million pieces/year) being commissioned for duty-free access to the US and Europe. RLL exports to 45+ countries; the Garmenting segment's export mix has historically been ~60-65% US, ~10% UK and ~5-8% Europe, and the company is actively shifting toward a larger Europe share amid US tariff volatility. Revenue mix is dominated by the domestic Branded Textile and Branded Apparel businesses, supplemented by the largely export-facing Garmenting and High-Value Cotton Shirting segments.</t>
  </si>
  <si>
    <t xml:space="preserve">Q3 FY26 (Oct-Dec 2025): record quarterly revenue of ₹1,883 Cr (+5% YoY), EBITDA +23% to ₹271 Cr (margin 14.4%), but PAT fell ~33-43% YoY (reports vary, ~₹43-64 Cr) as the Garmenting/export segment revenue fell ~17% to ₹258 Cr on US tariff pressure, even as Branded Textile (₹951 Cr, EBITDA margin 21.8%) and Branded Apparel (₹482 Cr) grew. Q4 FY26 (Jan-Mar 2026): full-year Total Income crossed ₹7,000 Cr for the first time (₹7,034 Cr, +11% YoY) and FY26 EBITDA rose 23% to ₹804 Cr (margin 11.4%, up from 10.2%), but the quarter itself posted a consolidated net loss of ₹52.06 Cr on exceptional charges, apparel-business pressure and inventory hits; Garmenting revenue rebounded 38% YoY to ₹342 Cr post the US-India trade deal. The Board declared a ₹1/share final dividend and management called out FY27 as a "Year of Consolidation" focused on operating optimization, premiumization and casualization in Branded Apparel. Q1 FY27 (Apr-Jun 2026, reported Aug 2026): revenue rose ~6-18% YoY (~₹1,475-1,515 Cr depending on income measure) with EBITDA up 36% to ₹122 Cr (margin 8.2%, up from 7.1%), but net loss widened ~14% YoY to ₹22.59 Cr; Garmenting surged 50% YoY to ₹296 Cr on tariff-rationalization-driven order execution and new global client wins, while Branded Textile (₹684 Cr), Branded Apparel (₹349 Cr) and High-Value Cotton Shirting (₹195 Cr) also grew. The company is strategically rebalancing garment exports away from the US (historically ~65%, now ~55-60%) toward Europe (target ~20-25% within two years) and commissioning the new Ethiopia garmenting plant for duty-free US/EU access.</t>
  </si>
  <si>
    <t xml:space="preserve">(1) Heavy exposure to US trade policy: the Garmenting/export segment has swung sharply (double-digit declines then 38-50% rebounds) with US tariff changes, and the US still accounts for the majority of garment exports despite diversification efforts. (2) Raw material cost inflation — wool prices reportedly up ~100% YoY and cotton/flax up ~20%, chemicals up ~30% — pressures margins in a business where wool/cotton/polyester are ~21% of cost of sales and wool is imported from Australia, South Africa, the US and South America, creating currency and hedging risk. (3) Weak capital efficiency: FY26 ROE (~0.83%) and ROCE (~1.33%) are very low, and the company posted consolidated net losses in both Q4 FY26 and Q1 FY27 despite revenue growth, indicating persistent margin/execution pressure in Branded Apparel and Garmenting. (4) Governance/liquidity flag: roughly 23.7% of the 59.6% promoter stake is reported pledged. (5) Short standalone track record — RLL was only demerged from Raymond Ltd and separately listed in September 2024, so historical trend data and execution as an independent entity are still limited.</t>
  </si>
  <si>
    <t xml:space="preserve">Market data (CMP, market cap, P/E, 52-week range) as of ~19 August 2026; financial results for FY2025-26 (year ended 31 March 2026) as released in the FY26 annual results (May 2026), with Q1 FY27 (Apr-Jun 2026) results released early August 2026</t>
  </si>
  <si>
    <t xml:space="preserve">Direct page fetches to screener.in, moneycontrol.com, trendlyne.com, tickertape.in, stockanalysis.com, equitybulls.com, business-standard.com and whalesbook.com were all blocked by network egress restrictions in this environment, so every figure below is derived from WebSearch snippet aggregation of these and secondary financial-news sites rather than a direct read of the primary page — Jaimin should spot-check the key numbers against screener.in or Raymond Lifestyle's investor-relations page (raymondlifestyle.com/disclosures) before using this in a client-facing report. Revenue (₹6,888 Cr) is FY26 consolidated "revenue from operations"; several sources instead quote FY26 "Total Income" of ₹7,034 Cr — net margin would be ~0.66% on that base instead of 0.67%. ROE (0.83%) and ROCE (1.33%) are FY26-specific figures from one aggregator; a screener.in snippet separately showed a trailing-3-year-average ROE of 9.78% and ROCE of 2.87% — both point to weak returns but the two data sets use different time windows and are not fully reconciled here. Debt-to-equity (~0.20, sometimes shown as "22.1%") sits oddly alongside the company's own claim of being debt-free with a ₹179 Cr net cash surplus — likely gross lease/working-capital debt vs. a net cash position; treat as approximate. Market cap varied slightly across sources pulled on different August 2026 dates (₹4,432 Cr vs. an earlier ₹4,560 Cr); the more recent (19 Aug 2026) figure was used. 3-year sales and profit CAGR are set to null and not estimated: RAYMONDLSL only began trading as an independently listed entity in September 2024 (post-demerger from Raymond Ltd), so a genuine 3-year standalone CAGR does not exist — only FY25→FY26 YoY growth is available (revenue +11%, PAT +21%). Segment-level domestic-vs-export revenue split as a whole-company percentage could not be found; only the Garmenting segment's export country mix was available.</t>
  </si>
  <si>
    <t xml:space="preserve">https://www.screener.in/company/RAYMONDLSL/consolidated/
https://www.business-standard.com/companies/quarterly-results/raymond-lifestyle-s-q1-loss-widens-to-rs-22-59-cr-revenue-rises-6-pc-126080101108_1.html
https://www.equitybulls.com/category.php?id=370281
https://www.whalesbook.com/corporate-news/English/consumer-products/Raymond-Lifestyle-Hits-Record-FY26-Revenue-and-Profit-Declares-Dividend/69fb647fd27867b982d6370d
https://www.whalesbook.com/corporate-news/English/textile/Raymond-Lifestyles-FY26-Revenue-Hits-indian-rupee7034-Cr-EBITDA-Surges-23percent/69fb694cd27867b982d7922c
https://www.investywise.com/raymond-lifestyle-limited-record-annual-financial-results/
https://www.moneyworks4me.com/indianstocks/small-cap/textiles-apparels/textile/raymond-lifestyle/company-info
https://www.icicidirect.com/stocks/raymond-lifestyle-ltd-share-price
https://www.marketsmojo.com/news/result-analysis/raymond-lifestyle-q3-fy26-profit-plunges-43-despite-revenue-growth-as-margin-pressures-mount-3806214
https://www.marketsmojo.com/news/result-analysis/raymond-lifestyle-q4-fy26-losses-deepen-as-margins-collapse-despite-revenue-growth-3979871
https://www.marketsmojo.com/news/result-analysis/raymond-lifestyle-q1-fy27-mounting-losses-deepen-as-revenue-growth-fails-to-translate-into-profitability-4131855
https://www.gurufocus.com/news/9004014/raymond-lifestyle-ltd-bom544240-q1-fy27-earnings-call-highlights-garmenting-surge-and-debtfree-balance-sheet-drive-optimism
https://www.whalesbook.com/news/English/international-news/Raymond-Lifestyle-Targets-25percent-Export-Share-in-Europe-Amid-US-Tariff-Shift/6a7aa0c66ffbe1e646113a7d
https://www.indianretailer.com/news/Raymond-sets-up-garment-manufacturing-plant-in-Ethiopia-for-export-to-US-Europe.n7593
https://raymondlifestyle.com/bussiness/details
https://www.fibre2fashion.com/news/apparel-news/india-s-raymond-lifestyle-posts-record-168-57-mn-q1-fy26-revenue-304474-newsdetails.htm
https://www.fibre2fashion.com/news/company-reports-news/india-s-raymond-lifestyle-s-fy26-income-tops-743-mn-for-1st-time-310159-newsdetails.htm</t>
  </si>
  <si>
    <t xml:space="preserve">Arvind Limited (Ahmedabad, Gujarat; Lalbhai Group, founded 1931) is a vertically integrated Indian textile major and one of the world's largest denim manufacturers, with roughly 100 million metres/annum (MMPA) of denim capacity and ~150 MMPA of woven fabric capacity, plus garmenting units, spread across plants in Ahmedabad, Mehsana and Gandhinagar (Gujarat), Pune (Maharashtra) and Bangalore (Karnataka). It operates two main segments: Textiles (denim, woven/shirting fabric, knits and garments — roughly 80-85% of revenue) and Advanced Materials (protective/technical fabrics for defence, firefighting, filtration, automotive and composites — the smaller but faster-growing, higher-margin segment). The company sells both to global apparel brands (denim/fabric/garment exports) and the domestic market; direct US-linked revenue is estimated at roughly a fifth of the top line, and in mid-2026 it made its first US manufacturing entry via the Dalco-GFT acquisition.</t>
  </si>
  <si>
    <t xml:space="preserve">FY2025-26 (full year, ended Mar-2026): consolidated revenue ₹9,303 Cr (+11.7% YoY), EBITDA ₹1,061 Cr (+15%, margin 11.4%), PAT ₹426.97 Cr (+16.2% YoY); Q4 FY26 alone posted revenue ₹2,553 Cr (+15% YoY), PAT ₹164.56 Cr, EBITDA margin ~12% (best in several quarters), and the board recommended a ₹4.50/share final dividend. Through the year the company repeatedly flagged and partially absorbed US tariff costs (~₹16-38 Cr per quarter at various points), which pressured H1 FY26 margins and led it to briefly pause discretionary capex. Q1 FY27 (Apr-Jun 2026, latest reported quarter, results ~13 Aug 2026): consolidated revenue surged 25% YoY to ₹2,501 Cr and PAT rose 47% to ₹80 Cr, EBITDA up 39% to ₹258 Cr (margin ~10.3%, +~100bps YoY); excluding the newly-consolidated acquisition, organic revenue still grew a strong 17% to ₹2,344 Cr. The standout event of the period was Arvind Advanced Materials Ltd (a wholly-owned subsidiary) acquiring a ~61% controlling stake in Dalco-GFT Nonwovens, a Conover, North Carolina-based nonwovens maker (auto, furniture/bedding, geotextile and industrial end-markets; ~$100 million CY2025 revenue, ~17% EBITDA margin, ~40% ROCE) for roughly $136 million — announced 6 May 2026 and closed by June 2026, marking Arvind's first US manufacturing footprint and its largest acquisition to date. Growth capex ran at ~₹348 Cr in 9M FY26 against a ₹400-450 Cr full-year guide, with ₹450-500 Cr of further growth capex guided for FY27 (excluding Dalco-GFT-related spend).</t>
  </si>
  <si>
    <t xml:space="preserve">(1) US tariff/trade-policy exposure: roughly a fifth of revenue is directly US-linked, and steep US tariffs on Indian textiles (up to 50% through 2025-26) have already cost the company tens of crores per quarter in absorbed margin and could redirect global sourcing to Bangladesh/Vietnam. (2) Cotton and other input-cost volatility, which flows quickly into denim/woven fabric gross margins given limited pricing power to pass costs through immediately. (3) Integration/execution risk on the Dalco-GFT acquisition (~$136 million, Arvind's largest-ever deal) — its first US manufacturing entry, adding geographic, currency and management-bandwidth risk. (4) Demand cyclicality: FY24 saw both revenue and profit decline amid domestic denim oversupply and weak global apparel demand, showing sensitivity to discretionary-spending cycles. (5) Rising capex and leverage: ₹450-500 Cr of guided FY27 growth capex plus the Dalco-GFT outlay, against a balance sheet that has deleveraged meaningfully but could re-lever if growth investments don't convert to returns as planned.</t>
  </si>
  <si>
    <t xml:space="preserve">CMP/market cap/52-week range as of 17 August 2026; financial ratios (ROE, ROCE, D/E, OPM) appear to be latest-available/TTM as scraped from Trendlyne (exact as-of date not confirmed); promoter holding as of ~May 2026 shareholding pattern</t>
  </si>
  <si>
    <t xml:space="preserve">Network egress to screener.in, moneycontrol.com, trendlyne.com, business-standard.com, arvind.com and most other primary finance sites was blocked by the sandbox's proxy policy (403 on direct fetch); all figures below are therefore compiled from Claude's WebSearch result snippets that themselves summarize those pages, not from directly-fetched/verified source pages. Treat every number as needing a quick cross-check against screener.in/trendlyne before use in a client-facing report. Specific caveats: (1) FY2025-26 (Apr 2025-Mar 2026) net profit was cited variously as ~₹427 Cr, ~₹430 Cr (TTM, includes Q1 FY27) and ~₹444 Cr across sources — likely standalone-vs-consolidated or provisional-vs-audited differences; I used ₹426.97 Cr / ₹9,303.19 Cr revenue as the most granular, internally-consistent consolidated full-year figures (11.7% revenue growth, 16.2% profit growth YoY cited alongside them). (2) P/E ratio quotes ranged wildly (20.9 to 56.1 across different aggregator pages, likely reflecting different/stale price or EPS bases); I instead calculated P/E ≈36.3 from CMP ₹548.35 and FY26 consolidated EPS (~₹15.05, derived from PAT ÷ implied shares outstanding of ~28.4 Cr from market-cap/price) — treat this as an estimate, not a sourced quote. (3) Dividend yield: sources quote 1.17% based on the ₹3.75/share dividend paid in Aug 2025, but that appears computed against a much lower historical share price; recalculated against the current CMP (₹548.35) and the ₹4.50/share final dividend the board recommended with Q4 FY26 results (May 2026), yield is closer to 0.8%. (4) ROE (9.34%), ROCE (15.53%) and D/E (0.36) are from a Trendlyne snippet of unconfirmed as-of date, likely TTM/latest-annual basis — reasonable proxies for FY26 but not independently verified. (5) 3-year sales CAGR (~3.5%) and profit CAGR (~1-2%) are self-calculated from FY23→FY26 annual figures (revenue ₹8,382→₹9,303 Cr; PAT ₹413→₹427 Cr) pulled from search snippets; FY24 was a down year for both metrics which depresses the CAGR — figures should be verified against screener.in's own CAGR calculation, which may use a different window/base. (6) CMP, market cap and 52-week range are dated 17 August 2026 (three days before "today"), the freshest figure found. (7) Promoter holding (39.53%) and pledge (7.24% of promoter stake) dated ~May 2026. (8) The claim that Arvind accounts for "11.31% of India's textile and apparel exports" could not be cleanly separated from Arvind Fashions Ltd (a related but distinct listed entity) in the search results, so it was excluded from the summary as unreliable — do not reuse it without checking the primary source.</t>
  </si>
  <si>
    <t xml:space="preserve">https://www.screener.in/company/ARVIND/consolidated/
https://trendlyne.com/equity/105/ARVIND/arvind-ltd/
https://trendlyne.com/fundamentals/financial-ratios/105/ARVIND/arvind-ltd/
https://trendlyne.com/equity/share-holding/105/ARVIND/latest/arvind-ltd/
https://www.business-standard.com/markets/capital-market-news/arvind-consolidated-net-profit-rises-0-39-in-the-june-2026-quarter-126081300259_1.html
https://scanx.trade/stock-market-news/companies/arvind-ltd-q4-results-net-profit-climbs-to-1-6b-rupees-ebitda-margin-expands-to-12-final-dividend-of-4-50-per-share-recommended/40421786
https://scanx.trade/stock-market-news/companies/arvind-q1-results-net-profit-jumps-47-80-crore/48096497
https://www.marketsmojo.com/news/result-analysis/arvind-ltd-q4-fy26-textile-giant-posts-record-quarterly-profit-amid-strong-margin-expansion-3994707
https://www.marketsmojo.com/news/result-analysis/arvind-ltd-q2-fy26-strong-profit-surge-masks-margin-volatility-concerns-3680407
https://www.multibagg.ai/market-pulse/articles/arvind-q3-fy26-performance-90890
https://www.multibagg.ai/market-pulse/articles/arvind-q1-fy27-results-update-cmsq6frcl012l0zuygeai4zxw
https://www.investywise.com/arvind-limited-record-fy26-financial-results/
https://www.investywise.com/arvind-reports-record-revenue-and-ebitda-growth/
https://www.whalesbook.com/corporate-news/English/industrial-goodsservices/Arvind-Ltd-Hits-Record-indian-rupee9303-Cr-FY26-Revenue-Buys-US-Firm-Dalco-GFT/6a075677e125a601ebdf86f0
https://www.whalesbook.com/corporate-news/English/industrial-goodsservices/Arvind-Buys-US-Specialty-Firm-Dalco-GFT-for-dollar136M-Targets-Mid-Teen-Growth/6a01753c707d23e84431e5e7
https://specialtyfabricsreview.com/2026/06/11/arvind-advanced/
https://www.textileworld.com/textile-world/nonwovens-technical-textiles/2026/05/arvind-advanced-materials-enters-usa-the-largest-technical-textile-market-through-acquisition-of-dalco-gft/
https://www.prnewswire.com/news-releases/snow-peak-capital-announces-sale-of-majority-interest-in-dalco-gft-to-arvind-advanced-materials-limited-302764760.html
https://apparelresources.com/business-news/manufacturing/arvind-ltd-reports-7-per-cent-consolidated-revenue-increase-warns-margin-hit-due-us-tariffs/
https://www.business-standard.com/amp/economy/news/arvind-textile-margin-warning-donald-trump-us-tariffs-capex-export-outlook-125051501179_1.html
https://www.fibre2fashion.com/news/textile-reports-results-news/india-s-arvind-ltd-posts-8-yoy-rise-in-q2-fy26-revenue-to-267-4-mn-306317-newsdetails.htm
https://alphastreet.com/india/arvind-ltd-q1-fy26-earnings-results-revenue-up-9-6-net-profit-rises-25-yoy/
https://www.indmoney.com/stocks/dividend/arvind-ltd-dividend
https://en.wikipedia.org/wiki/Arvind_(company)</t>
  </si>
  <si>
    <t xml:space="preserve">K.P.R. Mill Ltd (KPR Mill), headquartered in Coimbatore, Tamil Nadu, is one of India's largest vertically integrated textile-to-apparel manufacturers and garment exporters. Operations span cotton/viscose yarn spinning (~3.7 lakh spindles; ~1,00,000 MT cotton yarn + 4,000 MT viscose yarn p.a.), knitted fabric processing (~40,000 MT p.a.), and readymade knitted-garment manufacturing (~157 million pieces p.a. capacity across ~15 units). It also runs a diversified sugar and green-energy arm — a 20,000 TCD sugar mill, a 360 KLPD ethanol distillery, a 90 MW multi-fuel cogeneration plant, and 66 windmills (~62 MW). Garments are almost entirely export-oriented (sold to ~60 global brands including Primark, Walmart, H&amp;M, M&amp;S, ASDA and Kmart, with Europe ~60% and North America ~20% of exports), while yarn, fabric and sugar are sold mainly in the domestic market, giving the group roughly a 35-40% export / 60-65% domestic overall revenue mix.</t>
  </si>
  <si>
    <t xml:space="preserve">FY2025-26 (year ended March 2026) consolidated total income rose ~5% YoY to ₹6,784 crore and PAT rose ~6.3% YoY to ₹866.5 crore, helped by the sugar segment's profit jumping ~70% YoY, which partly offset margin pressure in textiles; the board's final dividend recommendation took the full-year payout to 500% (on ₹1 face value). Quarterly trends through FY26 were mixed — Q4 FY26 (Jan-Mar 2026) delivered record quarterly revenue of ~₹1,785 crore but operating margin slipped to ~20.3% (from ~20.9% in Q3) on higher tax incidence and competitive pricing. Q1 FY2026-27 (June 2026 quarter, reported 10 August 2026) rebounded strongly: consolidated total income of ₹1,970 crore (+9% YoY) and consolidated net profit up ~21% YoY to ₹258.5 crore, led by the textile segment. On the same day, the board sanctioned a ₹1,225 crore expansion/modernisation plan across garmenting, knitting, processing and spinning — including a ₹450 crore greenfield garment facility in Odisha (45 million pieces p.a., targeted for completion in Q1 FY2027-28) and a Coimbatore sweater unit — expected to add ~47.5 million garments of annual capacity and roughly ₹2,000 crore of incremental turnover, funded entirely through internal accruals with no fresh debt.</t>
  </si>
  <si>
    <t xml:space="preserve">Heavy dependence on US/EU apparel demand and trade policy: garments are almost 100% export-oriented, and the sector was hit when the US raised tariffs on Indian goods to 50% in August 2025 (later reported to be under negotiation toward an ~18% framework for textiles/apparel); a prolonged high-tariff regime would pressure order flows and competitiveness versus Bangladesh/Vietnam exporters. Cotton/viscose raw-material price volatility feeds through spinning and fabric margins with a lag, and operating/PAT margins were already trending down through FY26 (OPM ~20.9% to ~20.3% quarter-on-quarter) even as the stock trades at a rich ~35-42x trailing P/E versus a sector average nearer 23x, leaving little room for execution slips. The sugar/ethanol business layers on government-policy risk (cane pricing, sugar release/export quotas, ethanol-blending mandates), and the newly sanctioned ₹1,225 crore multi-site capex (Odisha greenfield plant targeted for FY2027-28) carries execution and demand-absorption risk.</t>
  </si>
  <si>
    <t xml:space="preserve">Market-price ratios (CMP, market cap, P/E, ROE, ROCE, dividend yield, promoter holding) reflect approximately 17-19 August 2026 (largely TTM basis, which includes Q1 FY26-27). Revenue, PAT and margins are for FY2025-26 (year ended 31 March 2026). Recent Developments also cover Q1 FY2026-27 (quarter ended 30 June 2026), reported 10 August 2026.</t>
  </si>
  <si>
    <t xml:space="preserve">Several key domains (screener.in, moneycontrol.com, trendlyne.com, stockanalysis.com, tijorifinance.com, groww.in, tickertape.in) were blocked by the network egress proxy, so all figures here were triangulated from WebSearch result snippets/AI summaries of those and other sites (chinimandi.com, investywise.com, scanx.trade, marketsmojo.com, tradebrains.in, whalesbook.com, business-standard.com, etc.) rather than direct page fetches — treat point figures as approximate. CMP/market cap/P/E ranged ₹1,116-1,132, ₹38,157-38,700 crore, and P/E 33.6x-41.8x across sources/dates within the same week; I used the more internally-consistent screener-style TTM snapshot (CMP ₹1,116, mkt cap ₹38.4k cr, P/E ~41.6x, ROE 15.7%, ROCE 19.6%). One source reported materially higher "average-basis" ROE/ROCE (~21.0%/~25.5%) and EBITDA margin 20.65% vs OPM 20.3% quoted for Q4 — these use different denominators (average vs point-in-time capital, EBITDA vs operating profit) so are not directly comparable; both are plausible depending on convention. Revenue for FY26 is reported inconsistently as "total income" (₹6,784 cr) vs "revenue from operations" (₹6,377-6,650 cr depending on source); I used the more widely-cited ₹6,784 cr figure. 3-year sales/profit CAGR (2.8%/1.0%) was computed by me from FY23 (₹6,248 cr revenue / ₹841.84 cr PAT, sourced from a BSE filing PDF reference) to FY26 figures — it is low mainly because FY24 was a weak year for the stock/sector (cotton price and demand volatility); longer-horizon aggregator figures (10-year CAGR: ~10% sales/~19% profit; 13-year: ~13%/~28%) suggest the trailing-3-year window is not representative of the company's longer-term growth. Debt-to-equity (~0.10) reflects KPR Mill's near-net-cash balance sheet; some sources describe it as net cash (negative net debt/equity). Promoter holding (67.5%) and dividend yield (0.45%) are each from a single corroborating source and should be cross-checked against the latest BSE/NSE shareholding pattern filing before use in a final report.</t>
  </si>
  <si>
    <t xml:space="preserve">https://www.screener.in/company/KPRMILL/consolidated/
https://www.chinimandi.com/kpr-mills-sugar-segment-profit-rises-70-in-fy26-consolidated-net-profit-climbs-to-rs-867-crore/
https://www.multibagg.ai/market-pulse/articles/kpr-mill-fy25-results-capex-cmsmz9aoz00f90zqe1rt69wx5
https://scanx.trade/stock-market-news/companies/kpr-mill-reports-consolidated-net-profit-of-86-650-lakhs-for-fy26-board-recommends-250-final-dividend/40121543
https://www.investywise.com/kpr-mill-limited-q4-and-fy26-financial-results/
https://www.investywise.com/kpr-mill-limited-board-approves-un-audited-financial-results/
https://tradebrains.in/k-p-r-mill-approves-1225-crore-expansion-and-modernisation-plan-targets-2000-cr-revenue/
https://scanx.trade/stock-market-news/companies/k-p-r-mill-ltd-approves-1-225-crore-expansion-plan/47899046
https://www.marketsmojo.com/news/result-analysis/k-p-r-mill-q4-fy26-record-revenues-mask-margin-pressure-in-premium-valued-textile-play-3988074
https://www.marketsmojo.com/news/result-analysis/k-p-r-mill-q2-fy26-margin-pressures-weigh-on-profitability-despite-revenue-growth-3671340
https://www.whalesbook.com/corporate-news/English/consumer-products/KPR-Mill-Reports-21percent-Profit-Growth-in-Q1-FY27-Textile-Segment-Leads/6a79829c10bce1fd2047b52a
https://www.businesstoday.in/amp/markets/stocks/story/textile-stocks-target-prices-for-arvind-welspun-living-kpr-mill-as-us-tariffs-kick-off-491339-2025-08-28
https://www.business-standard.com/economy/news/india-cotton-import-duty-waiver-trump-us-tariffs-textile-industry-trade-126060900867_1.html
https://www.tickertape.in/stocks/kpr-mill-KPRM
https://www.indiantextilemagazine.in/kpr-mill-maintains-growth-momentum-in-fy25-strengthens-vertically-integrated-operations-eyes-expansion/
https://www.bseindia.com/xml-data/corpfiling/AttachLive/2379b590-d71d-4fde-b232-afb557868ca7.pdf
https://www.indiaipo.in/news/detail/kpr-mill-promoter-group-members-declare-no-encumbrance-on-shares-for-fy26</t>
  </si>
  <si>
    <t xml:space="preserve">Page Industries Ltd is the exclusive licensee of JOCKEY International Inc. for manufacturing, marketing and distribution of the JOCKEY innerwear/athleisure brand across India, Sri Lanka, Bangladesh, Nepal, Bhutan, Maldives, Oman, Qatar and the UAE, and is also the exclusive licensee of Speedo International for India. It designs, makes and sells men's, women's and kids' innerwear, leisurewear, activewear and swimwear through exclusive brand outlets, large-format/multi-brand retail and e-commerce. Manufacturing is spread across 15+ owned units, historically concentrated around Bengaluru/Mysuru/KR Pete in Karnataka, plus a newly inaugurated ~₹750-crore, 650,000 sq.ft. facility at Cuttack (Ramdaspur), Odisha (men's innerwear, socks, elastics) with a second ~₹250-crore Odisha unit (Bhuinpur, Khurda) under construction; total installed capacity is roughly 280 million pieces/annum. The business is overwhelmingly domestic (India)-focused — the company has largely stopped disclosing a precise export/international revenue split in recent years, but international sales under the Jockey license extension to neighbouring countries are understood to be a small, single-digit percentage of total revenue.</t>
  </si>
  <si>
    <t xml:space="preserve">FY2025-26 revenue grew 6.3% YoY to ₹5,246.8 crore and PAT grew 4.8% to ₹763.8 crore, with EBITDA margin compressing modestly (~30bps) to ~22% as employee costs rose faster than sales (+14.8% YoY); both Q3 and Q4 FY26 saw margin pressure despite double-digit revenue growth in Q4 (~14% YoY). The company inaugurated a ₹750-crore manufacturing unit in Cuttack, Odisha (men's innerwear, socks and elastics) and laid the foundation for a second ~₹250-crore Odisha unit, alongside continuing capacity additions in Karnataka (Hosa Road, Mangammapalya, KR Pete). In Q1 FY2026-27 (Jun 2026 quarter, reported 13 Aug 2026), revenue rose 7.9% YoY to ₹1,420 crore but PAT fell ~4% YoY to ₹193 crore due to a cotton/yarn input-cost spike in Apr-May (normalized by June), a temporary logistics/manpower disruption that left ~3 days of billed volume undelivered, and a planned shift to the "Annual Rate Contract" trade-scheme structure; the stock fell ~4.7% on the results. Management maintained FY27 EBITDA margin guidance of 19-21%, reiterated a double-digit volume growth target, and cited a May-2026 price hike (2.2%) and new Disney/Marvel merchandise launches as Q2 tailwinds; the board declared a ₹200/share interim dividend (record date 19 August 2026).</t>
  </si>
  <si>
    <t xml:space="preserve">Margins are under sustained pressure from rising employee and raw-material (cotton/yarn) costs growing faster than revenue, with FY27 EBITDA margin guidance (19-21%) below the historical low-20s% range. The entire business model depends on continued exclusivity of its JOCKEY and Speedo international brand licenses — a structural single point of dependency with no owned-brand fallback. The rapid shift toward quick-commerce/e-commerce is pushing the company toward an "outright sale" model that reduces its control over retail pricing and consumer experience. The stock also carries a rich valuation (P/E ~56x, P/B in the high-20s/30s) after falling roughly 23% from its 52-week high, leaving limited room for execution misses, and faces intensifying competition from established innerwear players (Lux, Rupa, VIP Clothing, Amante) and newer D2C athleisure/innerwear brands.</t>
  </si>
  <si>
    <t xml:space="preserve">Market data (CMP, market cap, P/E, 52-week range) as of 13 August 2026; annual financials for FY2025-26 (reported ~13 May 2026); latest quarter referenced is Q1 FY2026-27 (Apr-Jun 2026), reported 13 August 2026</t>
  </si>
  <si>
    <t xml:space="preserve">Primary Indian data aggregators (screener.in, tickertape.in, trendlyne.com, moneycontrol.com, stockanalysis.com, investing.com direct pages) were blocked by the network egress proxy and could not be fetched directly; figures below were compiled from WebSearch result snippets of secondary sources (Angel One, GuruFocus, Smart-investing.in, MarketsMojo, Business Standard, Whalesbook, ScanX, Investing.com news articles, IndiaTextileMagazine, ApparelResources) and cross-checked for internal consistency (e.g., CMP x shares outstanding ≈ reported market cap; market cap / net profit ≈ reported P/E). Specific flags: (1) ROE/ROCE varied materially by source — one set showed ROE ~47.6%/ROCE ~68.2%, another showed ROE ~55%/ROCE ~85.9%, likely reflecting different trailing-period or capital-employed methodologies; the lower, screener-style figures were used as they reconciled better against reported book value. (2) P/E: one stale/cached result showed 93.3x, inconsistent with market cap ÷ net profit (~55.9x); the 55.64x figure (dated 13 Aug 2026) was used as it is internally consistent. (3) Dividend yield estimates ranged 1.6%-2.8% across sources depending on the trailing window and calculation date; 1.9% (Investing.com TTM figure) was used as a point estimate — treat as approximate, +/-1pp. (4) 3-year sales/profit CAGR could not be pulled directly from a ratios page (screener blocked); it was computed manually from approximate FY2022-23 figures (revenue ~₹4,789 crore, PAT ~₹560-570 crore, themselves imprecise 9-month+Q4 composites) versus FY2025-26 actuals — treat both CAGR figures as rough estimates, not precise. (5) Exact export vs. domestic revenue split could not be found; the company appears to have stopped disclosing this segmentally in recent filings, so the domestic-heavy characterization is qualitative, not a verified percentage. (6) Operating profit margin (opmPercent) uses the company's disclosed EBITDA margin as a proxy, which may differ slightly from a strict screener-style "OPM" (which sometimes excludes/includes other income differently).</t>
  </si>
  <si>
    <t xml:space="preserve">https://www.angelone.in/stocks/page-industries-ltd
https://www.gurufocus.com/term/ROE/NSE:PAGEIND/ROE-/Page-Industries-Ltd
https://www.screener.in/screens/351971/roe-and-roce-and-promoter-holding/
https://www.smart-investing.in/financial-ratios.php?Company=PAGE+INDUSTRIES+LTD&amp;p=ROE
https://www.whalesbook.com/corporate-news/Hinglish/consumer-products/Page-Industries-Posts-632percent-Revenue-Growth-476percent-Profit-Increase-for-FY26/6a58b5860037f071726205b7
https://scanx.trade/stock-market-news/companies/page-industries-reports-q4-revenue-of-12-5b-rupees-net-profit-rises-to-1-8b-rupees-yoy/40897397
https://www.marketsmojo.com/news/result-analysis/page-industries-q4-fy26-profit-dips-despite-revenue-growth-as-margins-contract-4003700
https://www.marketsmojo.com/news/result-analysis/page-industries-q3-fy26-margin-pressures-persist-despite-revenue-growth-3822981
https://www.investing.com/news/transcripts/earnings-call-transcript-page-industries-falls-47-after-mixed-q1-2026-results-93CH-4857543
https://www.investing.com/news/company-news/page-industries-q1-fy27-slides-show-growth-amid-margin-pressure-93CH-4857624
https://ca.investing.com/news/company-news/page-industries-ltd-bom532827-q1-2027-earnings-call-highlights-revenue-grows-7--4802268
https://www.business-standard.com/markets/news/page-industries-shares-skid-4-after-q1-results-200-dividend-declared-126081301107_1.html
https://www.indiantextilemagazine.in/page-industries-delivers-strong-fy25-performance-expands-manufacturing-footprint/
https://apparelresources.com/business-news/manufacturing/page-industries-inaugurates-rs-750-crore-manufacturing-unit-in-odisha/
https://pragativadi.com/odisha-cm-unveils-rs-750-cr-page-industries-apparel-unit-in-cuttack/
https://www.indianretailer.com/news/retail-india-news-page-industries-posts-q3-fy26-revenue-growth
https://www.equitymaster.com/research-it/annual-results-analysis/PAGE/PAGE-INDUSTRIES-2022-23-Annual-Report-Analysis/4936</t>
  </si>
  <si>
    <t xml:space="preserve">Gokaldas Exports Ltd, established 1979 and headquartered in Bengaluru, is one of India's largest apparel manufacturers and exporters, supplying woven and knit garments to global brands/retailers such as Walmart, Gap and JCPenney. It runs 25+ manufacturing units across India plus two recently acquired international platforms — Atraco Group (4 units in Kenya, 1 in Ethiopia; acquired Jan 2024 for ~$55 million) and Matrix Design &amp; Industries (4 knitwear units in Gurugram, Haryana, 1 in Ranchi, Jharkhand; acquired FY24 for an enterprise value of ~₹489 crore) — taking combined group output to roughly 90 million garments a year. The business is overwhelmingly export-oriented: the US alone accounts for roughly 75% of standalone sales, with the UK, France and Canada as other key destinations, though the company is now actively pushing into Europe and Africa to diversify away from US tariff exposure.</t>
  </si>
  <si>
    <t xml:space="preserve">FY25 (ended Mar 2025) saw record consolidated revenue of ~₹3,864-3,917 crore, up ~63% YoY, mainly from full-year consolidation of the Atraco and Matrix acquisitions, with PAT of ₹158.54 crore. In FY26 (ended Mar 2026) revenue growth moderated to ~3-4% (₹3,988-4,065 crore per different reporting lines) while PAT fell ~37% to ₹100.13 crore, as newly-imposed US tariffs on Indian apparel forced the company to absorb/discount over ₹90 crore in tariff-related costs to retain customers — PAT plunged ~71% YoY in both Q2 FY26 and Q3 FY26. A sequential recovery followed: Q4 FY26 PAT of ₹35.96 crore (+146% QoQ, still -32% YoY) and then Q1 FY27 (June 2026 quarter, reported ~12 Aug 2026) PAT of ₹44.3 crore (+6.8% YoY) on revenue of ₹1,153.5 crore (+20.7% YoY), suggesting margin pressure is easing. Capacity expansion has continued through the downturn: a new sewing factory in Bhopal, MP (Phase I: 3 million pieces/year, Phase II to double it), a new knits-processing facility in Perundurai, Tamil Nadu, and an additional leased woven/knit unit in Bommanahalli, Bengaluru. Management commentary has centered on diversifying export markets toward Europe and Africa to reduce US tariff risk.</t>
  </si>
  <si>
    <t xml:space="preserve">(1) Heavy customer/geography concentration — roughly 75% of sales tied to the US market and a handful of large global retail customers, leaving revenue exposed to US trade policy (tariffs) and customer-specific demand cycles, as demonstrated by the FY26 profit collapse. (2) Margin volatility around the Atraco/Matrix integration and tariff pass-through — EBITDA/PAT swung sharply through FY26 (PAT down ~71% YoY in two separate quarters) and leverage has risen (debt-to-EBITDA reported near ~2.17x, long-term debt increasing), adding financial risk if the earnings recovery stalls. (3) Thin promoter base and near-zero dividend — promoter holding is only ~9% following Blackstone's 2017 exit (control now via Mathew Cyriac/Florintree entities), and the company has paid almost no dividend since 2023, plus it carries the sector's usual exposure to cotton/yarn input costs, labour cost inflation, and currency movements.</t>
  </si>
  <si>
    <t xml:space="preserve">Market data (CMP, market cap, 52-week range) as of ~16 August 2026; P/E computed off trailing FY26 (year ended 31 Mar 2026) net profit; promoter holding as of the June 2026 quarter (Q1 FY27); financial results as of Q1 FY27 (June 2026 quarter, reported 12 Aug 2026), with FY26 (year ended 31 Mar 2026) as the latest full fiscal year.</t>
  </si>
  <si>
    <t xml:space="preserve">Primary data sources (screener.in, moneycontrol, tickertape, trendlyne, moneyworks4me, ticker.finology, valueresearchonline, marketsmojo, gokaldasexports.com) were blocked by the sandbox's network egress proxy, so all figures were reconstructed from Google/web-search snippets of secondary aggregators and financial news (Business Standard, DSIJ, Apparel Resources, Equitymaster, Kotak/HDFC Sky research notes, etc.) rather than fetched directly — treat point figures as reasonable estimates, not exact screener.in pulls. CMP/market cap/P&amp;E vary noticeably across sources and dates (CMP quoted anywhere from ₹773 to ₹859 within the June-Aug 2026 window; market cap ₹5,842-5,900 crore; P/E quoted as both ~31x and ~57-59x depending on the source/date and whether trailing FY25 or FY26 EPS was used) — I used the most recent (~16 Aug 2026) price/market-cap figures and computed P/E off FY26 PAT, which is consistent with the ~57-59x figures reported elsewhere. OPM is reported as 9.3-9.6% and D/E as 0.2-0.32 depending on source/period (FY25 vs FY26); I used the more recent FY26-specific figures. ROE/ROCE show a wide gap between "average" (3-yr, ~17% ROCE) and "latest" (FY26 point-in-time, ~7-9%) figures on aggregator sites because of the sharp FY26 profit fall — I reported the latest/FY26 figures as more representative of current conditions. Revenue figure used (₹3,987.64 crore) is "net sales"; the company's own investor communications cite "total income" of ₹4,065 crore for FY26 (includes other income) — both are noted. Promoter holding of ~9% is not a data error: it reflects the company's post-Blackstone ownership structure (current controlling shareholder Mathew Cyriac/Florintree group), corroborated by two independent sources. Dividend yield (0.12%) reflects the fact that no dividend appears to have been declared for FY26 and the last payout was in 2023 — treat as a near-nil, low-confidence figure since precise current trailing yield could not be independently verified.</t>
  </si>
  <si>
    <t xml:space="preserve">https://www.screener.in/company/GOKEX/consolidated/
https://www.moneyworks4me.com/indianstocks/small-cap/textiles-apparels/textile/gokaldas-exports/analysis-and-overview
https://www.tickertape.in/stocks/gokaldas-exports-GOKL
https://mediabrief.com/gokaldas-exports-q4-fy25-results-ebitda-pbt-growth/
https://www.business-standard.com/amp/markets/capital-market-news/gokaldas-exports-consolidated-net-profit-declines-31-97-in-the-march-2026-quarter-126052300294_1.html
https://www.business-standard.com/markets/capital-market-news/gokaldas-exports-consolidated-net-profit-rises-6-82-in-the-june-2026-quarter-126081200335_1.html
https://insights.dsij.in/dsijarticledetail/gokaldas-exports-consolidated-fy26-total-income-up-by-4-yoy-ebitda-margins-maintained-at-107-despite-us-tariff-headwinds-id003-57295
https://www.marketsmojo.com/news/result-analysis/gokaldas-exports-q4-fy26-recovery-masks-underlying-margin-pressures-4008584
https://www.marketsmojo.com/news/result-analysis/gokaldas-exports-q2-fy26-profit-plunges-71-as-margin-pressures-intensify-3697763
https://trendlyne.com/equity/share-holding/480/GOKEX/latest/gokaldas-exports-ltd/
https://in.apparelresources.com/business-news/manufacturing/gokaldas-exports-expand-europe-africa-us-tariffs-squeeze-margins/
https://www.business-standard.com/article/companies/blackstone-exits-gokaldas-exports-with-79-haircut-117040301423_1.html
https://www.indiantextilemagazine.in/gokaldas-exports-strategic-acquisitions-and-capacity-expansion-drive-growth/
https://www.business-standard.com/amp/markets/capital-market-news/gokaldas-exports-to-acquire-matrix-clothing-s-apparel-biz-stock-zooms-9-124020200381_1.html
https://www.business-standard.com/amp/markets/capital-market-news/gokaldas-exports-q1-pat-jumps-53-yoy-on-productivity-gains-cost-controls-125080600527_1.html
https://scanx.trade/stock-market-news/companies/gokaldas-exports-fy26-revenue-rises-4-to-inr4-065-crore/41951889
https://www.equitymaster.com/research-it/annual-results-analysis/GOEX/GOKALDAS-EXPORTS-2024-25-Annual-Report-Analysis/13068</t>
  </si>
</sst>
</file>

<file path=xl/styles.xml><?xml version="1.0" encoding="utf-8"?>
<styleSheet xmlns="http://schemas.openxmlformats.org/spreadsheetml/2006/main">
  <numFmts count="7">
    <numFmt numFmtId="164" formatCode="General"/>
    <numFmt numFmtId="165" formatCode="\₹#,##0.00"/>
    <numFmt numFmtId="166" formatCode="\₹#,##0"/>
    <numFmt numFmtId="167" formatCode="0.0\x"/>
    <numFmt numFmtId="168" formatCode="0.0%"/>
    <numFmt numFmtId="169" formatCode="0.00\x"/>
    <numFmt numFmtId="170" formatCode="0%"/>
  </numFmts>
  <fonts count="19">
    <font>
      <sz val="11"/>
      <color theme="1"/>
      <name val="Calibri"/>
      <family val="2"/>
      <charset val="1"/>
    </font>
    <font>
      <sz val="10"/>
      <name val="Arial"/>
      <family val="0"/>
    </font>
    <font>
      <sz val="10"/>
      <name val="Arial"/>
      <family val="0"/>
    </font>
    <font>
      <sz val="10"/>
      <name val="Arial"/>
      <family val="0"/>
    </font>
    <font>
      <b val="true"/>
      <sz val="22"/>
      <color rgb="FF1F3864"/>
      <name val="Arial"/>
      <family val="0"/>
      <charset val="1"/>
    </font>
    <font>
      <sz val="14"/>
      <color rgb="FF595959"/>
      <name val="Arial"/>
      <family val="0"/>
      <charset val="1"/>
    </font>
    <font>
      <sz val="10"/>
      <name val="Arial"/>
      <family val="0"/>
      <charset val="1"/>
    </font>
    <font>
      <b val="true"/>
      <sz val="10"/>
      <name val="Arial"/>
      <family val="0"/>
      <charset val="1"/>
    </font>
    <font>
      <b val="true"/>
      <sz val="12"/>
      <color rgb="FF1F3864"/>
      <name val="Arial"/>
      <family val="0"/>
      <charset val="1"/>
    </font>
    <font>
      <i val="true"/>
      <sz val="10"/>
      <color rgb="FF595959"/>
      <name val="Arial"/>
      <family val="0"/>
      <charset val="1"/>
    </font>
    <font>
      <b val="true"/>
      <sz val="10"/>
      <color rgb="FFFFFFFF"/>
      <name val="Arial"/>
      <family val="0"/>
      <charset val="1"/>
    </font>
    <font>
      <sz val="10"/>
      <color rgb="FF0000FF"/>
      <name val="Arial"/>
      <family val="0"/>
      <charset val="1"/>
    </font>
    <font>
      <i val="true"/>
      <sz val="10"/>
      <color rgb="FF999999"/>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
      <sz val="9"/>
      <color rgb="FF0563C1"/>
      <name val="Arial"/>
      <family val="0"/>
      <charset val="1"/>
    </font>
    <font>
      <b val="true"/>
      <sz val="12"/>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9F9F9"/>
      </patternFill>
    </fill>
    <fill>
      <patternFill patternType="solid">
        <fgColor rgb="FFD9E2F3"/>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5" fontId="11" fillId="0" borderId="1" xfId="0" applyFont="true" applyBorder="true" applyAlignment="true" applyProtection="false">
      <alignment horizontal="general" vertical="center" textRotation="0" wrapText="false" indent="0" shrinkToFit="false"/>
      <protection locked="true" hidden="false"/>
    </xf>
    <xf numFmtId="166" fontId="11" fillId="0" borderId="1" xfId="0" applyFont="true" applyBorder="true" applyAlignment="true" applyProtection="false">
      <alignment horizontal="general" vertical="center" textRotation="0" wrapText="false" indent="0" shrinkToFit="false"/>
      <protection locked="true" hidden="false"/>
    </xf>
    <xf numFmtId="167" fontId="11" fillId="0"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true" applyProtection="false">
      <alignment horizontal="general" vertical="center" textRotation="0" wrapText="false" indent="0" shrinkToFit="false"/>
      <protection locked="true" hidden="false"/>
    </xf>
    <xf numFmtId="169" fontId="11" fillId="0" borderId="1" xfId="0" applyFont="true" applyBorder="true" applyAlignment="true" applyProtection="false">
      <alignment horizontal="general" vertical="center" textRotation="0" wrapText="false" indent="0" shrinkToFit="false"/>
      <protection locked="true" hidden="false"/>
    </xf>
    <xf numFmtId="168" fontId="12" fillId="0" borderId="1"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5" fontId="11" fillId="3" borderId="1" xfId="0" applyFont="true" applyBorder="true" applyAlignment="true" applyProtection="false">
      <alignment horizontal="general" vertical="center" textRotation="0" wrapText="false" indent="0" shrinkToFit="false"/>
      <protection locked="true" hidden="false"/>
    </xf>
    <xf numFmtId="166" fontId="11" fillId="3" borderId="1" xfId="0" applyFont="true" applyBorder="true" applyAlignment="true" applyProtection="false">
      <alignment horizontal="general" vertical="center" textRotation="0" wrapText="false" indent="0" shrinkToFit="false"/>
      <protection locked="true" hidden="false"/>
    </xf>
    <xf numFmtId="167" fontId="11" fillId="3" borderId="1" xfId="0" applyFont="true" applyBorder="true" applyAlignment="true" applyProtection="false">
      <alignment horizontal="general" vertical="center"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8" fontId="11" fillId="3" borderId="1" xfId="0" applyFont="true" applyBorder="true" applyAlignment="true" applyProtection="false">
      <alignment horizontal="general" vertical="center" textRotation="0" wrapText="false" indent="0" shrinkToFit="false"/>
      <protection locked="true" hidden="false"/>
    </xf>
    <xf numFmtId="169" fontId="11" fillId="3" borderId="1" xfId="0" applyFont="true" applyBorder="true" applyAlignment="true" applyProtection="false">
      <alignment horizontal="general" vertical="center" textRotation="0" wrapText="false" indent="0" shrinkToFit="false"/>
      <protection locked="true" hidden="false"/>
    </xf>
    <xf numFmtId="168" fontId="12" fillId="3" borderId="1" xfId="0" applyFont="true" applyBorder="true" applyAlignment="true" applyProtection="false">
      <alignment horizontal="general" vertical="center"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9" fontId="7" fillId="4"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2"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9F9F9"/>
      <rgbColor rgb="FFF2F2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9E2F3"/>
      <rgbColor rgb="FFCCFFCC"/>
      <rgbColor rgb="FFFFFF99"/>
      <rgbColor rgb="FF99CCFF"/>
      <rgbColor rgb="FFFF99CC"/>
      <rgbColor rgb="FFCC99FF"/>
      <rgbColor rgb="FFFFCC99"/>
      <rgbColor rgb="FF4F81BD"/>
      <rgbColor rgb="FF33CCCC"/>
      <rgbColor rgb="FF99CC00"/>
      <rgbColor rgb="FFFFCC00"/>
      <rgbColor rgb="FFFF9900"/>
      <rgbColor rgb="FFFF6600"/>
      <rgbColor rgb="FF59595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Valuation – P/E by Company</a:t>
            </a:r>
          </a:p>
        </c:rich>
      </c:tx>
      <c:overlay val="0"/>
      <c:spPr>
        <a:noFill/>
        <a:ln w="0">
          <a:noFill/>
        </a:ln>
      </c:spPr>
    </c:title>
    <c:autoTitleDeleted val="0"/>
    <c:plotArea>
      <c:barChart>
        <c:barDir val="col"/>
        <c:grouping val="clustered"/>
        <c:varyColors val="0"/>
        <c:ser>
          <c:idx val="0"/>
          <c:order val="0"/>
          <c:tx>
            <c:strRef>
              <c:f>'Peer Comparison'!G4</c:f>
              <c:strCache>
                <c:ptCount val="1"/>
                <c:pt idx="0">
                  <c:v>P/E (x)</c:v>
                </c:pt>
              </c:strCache>
            </c:strRef>
          </c:tx>
          <c:spPr>
            <a:solidFill>
              <a:srgbClr val="4f81bd"/>
            </a:solidFill>
            <a:ln w="9360">
              <a:solidFill>
                <a:srgbClr val="f9f9f9"/>
              </a:solidFill>
              <a:round/>
            </a:ln>
          </c:spPr>
          <c:invertIfNegative val="0"/>
          <c:dLbls>
            <c:numFmt formatCode="0.0\x"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'Peer Comparison'!$A$5:$A$12</c:f>
              <c:strCache>
                <c:ptCount val="8"/>
                <c:pt idx="0">
                  <c:v>Vardhman Textiles Ltd</c:v>
                </c:pt>
                <c:pt idx="1">
                  <c:v>Trident Limited</c:v>
                </c:pt>
                <c:pt idx="2">
                  <c:v>Welspun Living Ltd</c:v>
                </c:pt>
                <c:pt idx="3">
                  <c:v>Raymond Lifestyle Ltd</c:v>
                </c:pt>
                <c:pt idx="4">
                  <c:v>Arvind Limited</c:v>
                </c:pt>
                <c:pt idx="5">
                  <c:v>K.P.R. Mill Limited</c:v>
                </c:pt>
                <c:pt idx="6">
                  <c:v>Page Industries Limited</c:v>
                </c:pt>
                <c:pt idx="7">
                  <c:v>Gokaldas Exports Ltd</c:v>
                </c:pt>
              </c:strCache>
            </c:strRef>
          </c:cat>
          <c:val>
            <c:numRef>
              <c:f>'Peer Comparison'!$G$5:$G$12</c:f>
              <c:numCache>
                <c:formatCode>0.0\x</c:formatCode>
                <c:ptCount val="8"/>
                <c:pt idx="0">
                  <c:v>21.02</c:v>
                </c:pt>
                <c:pt idx="1">
                  <c:v>33.55</c:v>
                </c:pt>
                <c:pt idx="2">
                  <c:v>53.14</c:v>
                </c:pt>
                <c:pt idx="3">
                  <c:v>102.1</c:v>
                </c:pt>
                <c:pt idx="4">
                  <c:v>36.3</c:v>
                </c:pt>
                <c:pt idx="5">
                  <c:v>41.6</c:v>
                </c:pt>
                <c:pt idx="6">
                  <c:v>55.64</c:v>
                </c:pt>
                <c:pt idx="7">
                  <c:v>58.9</c:v>
                </c:pt>
              </c:numCache>
            </c:numRef>
          </c:val>
        </c:ser>
        <c:gapWidth val="150"/>
        <c:overlap val="0"/>
        <c:axId val="32261311"/>
        <c:axId val="72515392"/>
      </c:barChart>
      <c:catAx>
        <c:axId val="322613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515392"/>
        <c:crosses val="autoZero"/>
        <c:auto val="1"/>
        <c:lblAlgn val="ctr"/>
        <c:lblOffset val="100"/>
        <c:noMultiLvlLbl val="0"/>
      </c:catAx>
      <c:valAx>
        <c:axId val="7251539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 (x)</a:t>
                </a:r>
              </a:p>
            </c:rich>
          </c:tx>
          <c:overlay val="0"/>
          <c:spPr>
            <a:noFill/>
            <a:ln w="0">
              <a:noFill/>
            </a:ln>
          </c:spPr>
        </c:title>
        <c:numFmt formatCode="0.0\x"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26131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Profitability – OPM vs NPM</a:t>
            </a:r>
          </a:p>
        </c:rich>
      </c:tx>
      <c:overlay val="0"/>
      <c:spPr>
        <a:noFill/>
        <a:ln w="0">
          <a:noFill/>
        </a:ln>
      </c:spPr>
    </c:title>
    <c:autoTitleDeleted val="0"/>
    <c:plotArea>
      <c:barChart>
        <c:barDir val="col"/>
        <c:grouping val="clustered"/>
        <c:varyColors val="0"/>
        <c:ser>
          <c:idx val="0"/>
          <c:order val="0"/>
          <c:tx>
            <c:strRef>
              <c:f>'Peer Comparison'!M4</c:f>
              <c:strCache>
                <c:ptCount val="1"/>
                <c:pt idx="0">
                  <c:v>OPM (%)</c:v>
                </c:pt>
              </c:strCache>
            </c:strRef>
          </c:tx>
          <c:spPr>
            <a:solidFill>
              <a:srgbClr val="4f81bd"/>
            </a:solidFill>
            <a:ln w="9360">
              <a:solidFill>
                <a:srgbClr val="f9f9f9"/>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'Peer Comparison'!$A$5:$A$12</c:f>
              <c:strCache>
                <c:ptCount val="8"/>
                <c:pt idx="0">
                  <c:v>Vardhman Textiles Ltd</c:v>
                </c:pt>
                <c:pt idx="1">
                  <c:v>Trident Limited</c:v>
                </c:pt>
                <c:pt idx="2">
                  <c:v>Welspun Living Ltd</c:v>
                </c:pt>
                <c:pt idx="3">
                  <c:v>Raymond Lifestyle Ltd</c:v>
                </c:pt>
                <c:pt idx="4">
                  <c:v>Arvind Limited</c:v>
                </c:pt>
                <c:pt idx="5">
                  <c:v>K.P.R. Mill Limited</c:v>
                </c:pt>
                <c:pt idx="6">
                  <c:v>Page Industries Limited</c:v>
                </c:pt>
                <c:pt idx="7">
                  <c:v>Gokaldas Exports Ltd</c:v>
                </c:pt>
              </c:strCache>
            </c:strRef>
          </c:cat>
          <c:val>
            <c:numRef>
              <c:f>'Peer Comparison'!$M$5:$M$12</c:f>
              <c:numCache>
                <c:formatCode>0.0%</c:formatCode>
                <c:ptCount val="8"/>
                <c:pt idx="0">
                  <c:v>0.151</c:v>
                </c:pt>
                <c:pt idx="1">
                  <c:v>0.1404</c:v>
                </c:pt>
                <c:pt idx="2">
                  <c:v>0.0917</c:v>
                </c:pt>
                <c:pt idx="3">
                  <c:v>0.114</c:v>
                </c:pt>
                <c:pt idx="4">
                  <c:v>0.114</c:v>
                </c:pt>
                <c:pt idx="5">
                  <c:v>0.2065</c:v>
                </c:pt>
                <c:pt idx="6">
                  <c:v>0.22</c:v>
                </c:pt>
                <c:pt idx="7">
                  <c:v>0.096</c:v>
                </c:pt>
              </c:numCache>
            </c:numRef>
          </c:val>
        </c:ser>
        <c:ser>
          <c:idx val="1"/>
          <c:order val="1"/>
          <c:tx>
            <c:strRef>
              <c:f>'Peer Comparison'!N4</c:f>
              <c:strCache>
                <c:ptCount val="1"/>
                <c:pt idx="0">
                  <c:v>NPM (%)</c:v>
                </c:pt>
              </c:strCache>
            </c:strRef>
          </c:tx>
          <c:spPr>
            <a:solidFill>
              <a:srgbClr val="c0504d"/>
            </a:solidFill>
            <a:ln w="9360">
              <a:solidFill>
                <a:srgbClr val="f9f9f9"/>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'Peer Comparison'!$A$5:$A$12</c:f>
              <c:strCache>
                <c:ptCount val="8"/>
                <c:pt idx="0">
                  <c:v>Vardhman Textiles Ltd</c:v>
                </c:pt>
                <c:pt idx="1">
                  <c:v>Trident Limited</c:v>
                </c:pt>
                <c:pt idx="2">
                  <c:v>Welspun Living Ltd</c:v>
                </c:pt>
                <c:pt idx="3">
                  <c:v>Raymond Lifestyle Ltd</c:v>
                </c:pt>
                <c:pt idx="4">
                  <c:v>Arvind Limited</c:v>
                </c:pt>
                <c:pt idx="5">
                  <c:v>K.P.R. Mill Limited</c:v>
                </c:pt>
                <c:pt idx="6">
                  <c:v>Page Industries Limited</c:v>
                </c:pt>
                <c:pt idx="7">
                  <c:v>Gokaldas Exports Ltd</c:v>
                </c:pt>
              </c:strCache>
            </c:strRef>
          </c:cat>
          <c:val>
            <c:numRef>
              <c:f>'Peer Comparison'!$N$5:$N$12</c:f>
              <c:numCache>
                <c:formatCode>0.0%</c:formatCode>
                <c:ptCount val="8"/>
                <c:pt idx="0">
                  <c:v>0.075</c:v>
                </c:pt>
                <c:pt idx="1">
                  <c:v>0.0556</c:v>
                </c:pt>
                <c:pt idx="2">
                  <c:v>0.0227</c:v>
                </c:pt>
                <c:pt idx="3">
                  <c:v>0.0067</c:v>
                </c:pt>
                <c:pt idx="4">
                  <c:v>0.0459</c:v>
                </c:pt>
                <c:pt idx="5">
                  <c:v>0.1277</c:v>
                </c:pt>
                <c:pt idx="6">
                  <c:v>0.146</c:v>
                </c:pt>
                <c:pt idx="7">
                  <c:v>0.0251</c:v>
                </c:pt>
              </c:numCache>
            </c:numRef>
          </c:val>
        </c:ser>
        <c:gapWidth val="150"/>
        <c:overlap val="0"/>
        <c:axId val="18804417"/>
        <c:axId val="22567182"/>
      </c:barChart>
      <c:catAx>
        <c:axId val="1880441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567182"/>
        <c:crosses val="autoZero"/>
        <c:auto val="1"/>
        <c:lblAlgn val="ctr"/>
        <c:lblOffset val="100"/>
        <c:noMultiLvlLbl val="0"/>
      </c:catAx>
      <c:valAx>
        <c:axId val="2256718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Margin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80441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Returns – ROE vs ROCE</a:t>
            </a:r>
          </a:p>
        </c:rich>
      </c:tx>
      <c:overlay val="0"/>
      <c:spPr>
        <a:noFill/>
        <a:ln w="0">
          <a:noFill/>
        </a:ln>
      </c:spPr>
    </c:title>
    <c:autoTitleDeleted val="0"/>
    <c:plotArea>
      <c:barChart>
        <c:barDir val="col"/>
        <c:grouping val="clustered"/>
        <c:varyColors val="0"/>
        <c:ser>
          <c:idx val="0"/>
          <c:order val="0"/>
          <c:tx>
            <c:strRef>
              <c:f>'Peer Comparison'!O4</c:f>
              <c:strCache>
                <c:ptCount val="1"/>
                <c:pt idx="0">
                  <c:v>ROE (%)</c:v>
                </c:pt>
              </c:strCache>
            </c:strRef>
          </c:tx>
          <c:spPr>
            <a:solidFill>
              <a:srgbClr val="4f81bd"/>
            </a:solidFill>
            <a:ln w="9360">
              <a:solidFill>
                <a:srgbClr val="f9f9f9"/>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'Peer Comparison'!$A$5:$A$12</c:f>
              <c:strCache>
                <c:ptCount val="8"/>
                <c:pt idx="0">
                  <c:v>Vardhman Textiles Ltd</c:v>
                </c:pt>
                <c:pt idx="1">
                  <c:v>Trident Limited</c:v>
                </c:pt>
                <c:pt idx="2">
                  <c:v>Welspun Living Ltd</c:v>
                </c:pt>
                <c:pt idx="3">
                  <c:v>Raymond Lifestyle Ltd</c:v>
                </c:pt>
                <c:pt idx="4">
                  <c:v>Arvind Limited</c:v>
                </c:pt>
                <c:pt idx="5">
                  <c:v>K.P.R. Mill Limited</c:v>
                </c:pt>
                <c:pt idx="6">
                  <c:v>Page Industries Limited</c:v>
                </c:pt>
                <c:pt idx="7">
                  <c:v>Gokaldas Exports Ltd</c:v>
                </c:pt>
              </c:strCache>
            </c:strRef>
          </c:cat>
          <c:val>
            <c:numRef>
              <c:f>'Peer Comparison'!$O$5:$O$12</c:f>
              <c:numCache>
                <c:formatCode>0.0%</c:formatCode>
                <c:ptCount val="8"/>
                <c:pt idx="0">
                  <c:v>0.0829</c:v>
                </c:pt>
                <c:pt idx="1">
                  <c:v>0.0961</c:v>
                </c:pt>
                <c:pt idx="2">
                  <c:v>0.0451</c:v>
                </c:pt>
                <c:pt idx="3">
                  <c:v>0.0083</c:v>
                </c:pt>
                <c:pt idx="4">
                  <c:v>0.0934</c:v>
                </c:pt>
                <c:pt idx="5">
                  <c:v>0.157</c:v>
                </c:pt>
                <c:pt idx="6">
                  <c:v>0.476</c:v>
                </c:pt>
                <c:pt idx="7">
                  <c:v>0.071</c:v>
                </c:pt>
              </c:numCache>
            </c:numRef>
          </c:val>
        </c:ser>
        <c:ser>
          <c:idx val="1"/>
          <c:order val="1"/>
          <c:tx>
            <c:strRef>
              <c:f>'Peer Comparison'!P4</c:f>
              <c:strCache>
                <c:ptCount val="1"/>
                <c:pt idx="0">
                  <c:v>ROCE (%)</c:v>
                </c:pt>
              </c:strCache>
            </c:strRef>
          </c:tx>
          <c:spPr>
            <a:solidFill>
              <a:srgbClr val="c0504d"/>
            </a:solidFill>
            <a:ln w="9360">
              <a:solidFill>
                <a:srgbClr val="f9f9f9"/>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'Peer Comparison'!$A$5:$A$12</c:f>
              <c:strCache>
                <c:ptCount val="8"/>
                <c:pt idx="0">
                  <c:v>Vardhman Textiles Ltd</c:v>
                </c:pt>
                <c:pt idx="1">
                  <c:v>Trident Limited</c:v>
                </c:pt>
                <c:pt idx="2">
                  <c:v>Welspun Living Ltd</c:v>
                </c:pt>
                <c:pt idx="3">
                  <c:v>Raymond Lifestyle Ltd</c:v>
                </c:pt>
                <c:pt idx="4">
                  <c:v>Arvind Limited</c:v>
                </c:pt>
                <c:pt idx="5">
                  <c:v>K.P.R. Mill Limited</c:v>
                </c:pt>
                <c:pt idx="6">
                  <c:v>Page Industries Limited</c:v>
                </c:pt>
                <c:pt idx="7">
                  <c:v>Gokaldas Exports Ltd</c:v>
                </c:pt>
              </c:strCache>
            </c:strRef>
          </c:cat>
          <c:val>
            <c:numRef>
              <c:f>'Peer Comparison'!$P$5:$P$12</c:f>
              <c:numCache>
                <c:formatCode>0.0%</c:formatCode>
                <c:ptCount val="8"/>
                <c:pt idx="0">
                  <c:v>0.0886</c:v>
                </c:pt>
                <c:pt idx="1">
                  <c:v>0.1073</c:v>
                </c:pt>
                <c:pt idx="2">
                  <c:v>0.058</c:v>
                </c:pt>
                <c:pt idx="3">
                  <c:v>0.0133</c:v>
                </c:pt>
                <c:pt idx="4">
                  <c:v>0.1553</c:v>
                </c:pt>
                <c:pt idx="5">
                  <c:v>0.196</c:v>
                </c:pt>
                <c:pt idx="6">
                  <c:v>0.682</c:v>
                </c:pt>
                <c:pt idx="7">
                  <c:v>0.086</c:v>
                </c:pt>
              </c:numCache>
            </c:numRef>
          </c:val>
        </c:ser>
        <c:gapWidth val="150"/>
        <c:overlap val="0"/>
        <c:axId val="44587787"/>
        <c:axId val="91623867"/>
      </c:barChart>
      <c:catAx>
        <c:axId val="445877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623867"/>
        <c:crosses val="autoZero"/>
        <c:auto val="1"/>
        <c:lblAlgn val="ctr"/>
        <c:lblOffset val="100"/>
        <c:noMultiLvlLbl val="0"/>
      </c:catAx>
      <c:valAx>
        <c:axId val="9162386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Return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58778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Growth – Revenue vs Net Profit (₹ Cr)</a:t>
            </a:r>
          </a:p>
        </c:rich>
      </c:tx>
      <c:overlay val="0"/>
      <c:spPr>
        <a:noFill/>
        <a:ln w="0">
          <a:noFill/>
        </a:ln>
      </c:spPr>
    </c:title>
    <c:autoTitleDeleted val="0"/>
    <c:plotArea>
      <c:barChart>
        <c:barDir val="col"/>
        <c:grouping val="clustered"/>
        <c:varyColors val="0"/>
        <c:ser>
          <c:idx val="0"/>
          <c:order val="0"/>
          <c:tx>
            <c:strRef>
              <c:f>'Peer Comparison'!K4</c:f>
              <c:strCache>
                <c:ptCount val="1"/>
                <c:pt idx="0">
                  <c:v>Revenue (₹ Cr)</c:v>
                </c:pt>
              </c:strCache>
            </c:strRef>
          </c:tx>
          <c:spPr>
            <a:solidFill>
              <a:srgbClr val="4f81bd"/>
            </a:solidFill>
            <a:ln w="9360">
              <a:solidFill>
                <a:srgbClr val="f9f9f9"/>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'Peer Comparison'!$A$5:$A$12</c:f>
              <c:strCache>
                <c:ptCount val="8"/>
                <c:pt idx="0">
                  <c:v>Vardhman Textiles Ltd</c:v>
                </c:pt>
                <c:pt idx="1">
                  <c:v>Trident Limited</c:v>
                </c:pt>
                <c:pt idx="2">
                  <c:v>Welspun Living Ltd</c:v>
                </c:pt>
                <c:pt idx="3">
                  <c:v>Raymond Lifestyle Ltd</c:v>
                </c:pt>
                <c:pt idx="4">
                  <c:v>Arvind Limited</c:v>
                </c:pt>
                <c:pt idx="5">
                  <c:v>K.P.R. Mill Limited</c:v>
                </c:pt>
                <c:pt idx="6">
                  <c:v>Page Industries Limited</c:v>
                </c:pt>
                <c:pt idx="7">
                  <c:v>Gokaldas Exports Ltd</c:v>
                </c:pt>
              </c:strCache>
            </c:strRef>
          </c:cat>
          <c:val>
            <c:numRef>
              <c:f>'Peer Comparison'!$K$5:$K$12</c:f>
              <c:numCache>
                <c:formatCode>\₹#,##0</c:formatCode>
                <c:ptCount val="8"/>
                <c:pt idx="0">
                  <c:v>10092.53</c:v>
                </c:pt>
                <c:pt idx="1">
                  <c:v>6775</c:v>
                </c:pt>
                <c:pt idx="2">
                  <c:v>9399.11</c:v>
                </c:pt>
                <c:pt idx="3">
                  <c:v>6888</c:v>
                </c:pt>
                <c:pt idx="4">
                  <c:v>9303.19</c:v>
                </c:pt>
                <c:pt idx="5">
                  <c:v>6784</c:v>
                </c:pt>
                <c:pt idx="6">
                  <c:v>5246.8</c:v>
                </c:pt>
                <c:pt idx="7">
                  <c:v>3987.64</c:v>
                </c:pt>
              </c:numCache>
            </c:numRef>
          </c:val>
        </c:ser>
        <c:ser>
          <c:idx val="1"/>
          <c:order val="1"/>
          <c:tx>
            <c:strRef>
              <c:f>'Peer Comparison'!L4</c:f>
              <c:strCache>
                <c:ptCount val="1"/>
                <c:pt idx="0">
                  <c:v>Net Profit (₹ Cr)</c:v>
                </c:pt>
              </c:strCache>
            </c:strRef>
          </c:tx>
          <c:spPr>
            <a:solidFill>
              <a:srgbClr val="c0504d"/>
            </a:solidFill>
            <a:ln w="9360">
              <a:solidFill>
                <a:srgbClr val="f9f9f9"/>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'Peer Comparison'!$A$5:$A$12</c:f>
              <c:strCache>
                <c:ptCount val="8"/>
                <c:pt idx="0">
                  <c:v>Vardhman Textiles Ltd</c:v>
                </c:pt>
                <c:pt idx="1">
                  <c:v>Trident Limited</c:v>
                </c:pt>
                <c:pt idx="2">
                  <c:v>Welspun Living Ltd</c:v>
                </c:pt>
                <c:pt idx="3">
                  <c:v>Raymond Lifestyle Ltd</c:v>
                </c:pt>
                <c:pt idx="4">
                  <c:v>Arvind Limited</c:v>
                </c:pt>
                <c:pt idx="5">
                  <c:v>K.P.R. Mill Limited</c:v>
                </c:pt>
                <c:pt idx="6">
                  <c:v>Page Industries Limited</c:v>
                </c:pt>
                <c:pt idx="7">
                  <c:v>Gokaldas Exports Ltd</c:v>
                </c:pt>
              </c:strCache>
            </c:strRef>
          </c:cat>
          <c:val>
            <c:numRef>
              <c:f>'Peer Comparison'!$L$5:$L$12</c:f>
              <c:numCache>
                <c:formatCode>\₹#,##0</c:formatCode>
                <c:ptCount val="8"/>
                <c:pt idx="0">
                  <c:v>753.2</c:v>
                </c:pt>
                <c:pt idx="1">
                  <c:v>377</c:v>
                </c:pt>
                <c:pt idx="2">
                  <c:v>212.89</c:v>
                </c:pt>
                <c:pt idx="3">
                  <c:v>46.17</c:v>
                </c:pt>
                <c:pt idx="4">
                  <c:v>426.97</c:v>
                </c:pt>
                <c:pt idx="5">
                  <c:v>866.5</c:v>
                </c:pt>
                <c:pt idx="6">
                  <c:v>763.8</c:v>
                </c:pt>
                <c:pt idx="7">
                  <c:v>100.13</c:v>
                </c:pt>
              </c:numCache>
            </c:numRef>
          </c:val>
        </c:ser>
        <c:gapWidth val="150"/>
        <c:overlap val="0"/>
        <c:axId val="73663433"/>
        <c:axId val="20693533"/>
      </c:barChart>
      <c:catAx>
        <c:axId val="736634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693533"/>
        <c:crosses val="autoZero"/>
        <c:auto val="1"/>
        <c:lblAlgn val="ctr"/>
        <c:lblOffset val="100"/>
        <c:noMultiLvlLbl val="0"/>
      </c:catAx>
      <c:valAx>
        <c:axId val="206935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Amount (₹ Cr)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66343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xdr:row>
      <xdr:rowOff>838440</xdr:rowOff>
    </xdr:from>
    <xdr:to>
      <xdr:col>5</xdr:col>
      <xdr:colOff>96480</xdr:colOff>
      <xdr:row>22</xdr:row>
      <xdr:rowOff>108000</xdr:rowOff>
    </xdr:to>
    <xdr:graphicFrame>
      <xdr:nvGraphicFramePr>
        <xdr:cNvPr id="0" name="Chart 1"/>
        <xdr:cNvGraphicFramePr/>
      </xdr:nvGraphicFramePr>
      <xdr:xfrm>
        <a:off x="0" y="359100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8</xdr:row>
      <xdr:rowOff>838440</xdr:rowOff>
    </xdr:from>
    <xdr:to>
      <xdr:col>19</xdr:col>
      <xdr:colOff>540720</xdr:colOff>
      <xdr:row>22</xdr:row>
      <xdr:rowOff>108000</xdr:rowOff>
    </xdr:to>
    <xdr:graphicFrame>
      <xdr:nvGraphicFramePr>
        <xdr:cNvPr id="1" name="Chart 2"/>
        <xdr:cNvGraphicFramePr/>
      </xdr:nvGraphicFramePr>
      <xdr:xfrm>
        <a:off x="14135040" y="3591000"/>
        <a:ext cx="79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24</xdr:row>
      <xdr:rowOff>106560</xdr:rowOff>
    </xdr:from>
    <xdr:to>
      <xdr:col>5</xdr:col>
      <xdr:colOff>96480</xdr:colOff>
      <xdr:row>41</xdr:row>
      <xdr:rowOff>108000</xdr:rowOff>
    </xdr:to>
    <xdr:graphicFrame>
      <xdr:nvGraphicFramePr>
        <xdr:cNvPr id="2" name="Chart 3"/>
        <xdr:cNvGraphicFramePr/>
      </xdr:nvGraphicFramePr>
      <xdr:xfrm>
        <a:off x="0" y="7210440"/>
        <a:ext cx="791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24</xdr:row>
      <xdr:rowOff>106560</xdr:rowOff>
    </xdr:from>
    <xdr:to>
      <xdr:col>19</xdr:col>
      <xdr:colOff>540720</xdr:colOff>
      <xdr:row>41</xdr:row>
      <xdr:rowOff>108000</xdr:rowOff>
    </xdr:to>
    <xdr:graphicFrame>
      <xdr:nvGraphicFramePr>
        <xdr:cNvPr id="3" name="Chart 4"/>
        <xdr:cNvGraphicFramePr/>
      </xdr:nvGraphicFramePr>
      <xdr:xfrm>
        <a:off x="14135040" y="7210440"/>
        <a:ext cx="791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00"/>
  </cols>
  <sheetData>
    <row r="2" customFormat="false" ht="26.8" hidden="false" customHeight="false" outlineLevel="0" collapsed="false">
      <c r="B2" s="1" t="s">
        <v>0</v>
      </c>
    </row>
    <row r="3" customFormat="false" ht="17.35" hidden="false" customHeight="false" outlineLevel="0" collapsed="false">
      <c r="B3" s="2" t="s">
        <v>1</v>
      </c>
    </row>
    <row r="5" customFormat="false" ht="15" hidden="false" customHeight="false" outlineLevel="0" collapsed="false">
      <c r="B5" s="3" t="s">
        <v>2</v>
      </c>
    </row>
    <row r="6" customFormat="false" ht="45" hidden="false" customHeight="true" outlineLevel="0" collapsed="false">
      <c r="B6" s="4" t="s">
        <v>3</v>
      </c>
    </row>
    <row r="8" customFormat="false" ht="15" hidden="false" customHeight="false" outlineLevel="0" collapsed="false">
      <c r="B8" s="5" t="s">
        <v>4</v>
      </c>
    </row>
    <row r="9" customFormat="false" ht="90" hidden="false" customHeight="true" outlineLevel="0" collapsed="false">
      <c r="B9" s="4" t="s">
        <v>5</v>
      </c>
    </row>
    <row r="11" customFormat="false" ht="15" hidden="false" customHeight="false" outlineLevel="0" collapsed="false">
      <c r="B11" s="5" t="s">
        <v>6</v>
      </c>
    </row>
    <row r="12" customFormat="false" ht="15" hidden="false" customHeight="false" outlineLevel="0" collapsed="false">
      <c r="B12" s="3" t="s">
        <v>7</v>
      </c>
    </row>
    <row r="13" customFormat="false" ht="15" hidden="false" customHeight="false" outlineLevel="0" collapsed="false">
      <c r="B13" s="3" t="s">
        <v>8</v>
      </c>
    </row>
    <row r="14" customFormat="false" ht="15" hidden="false" customHeight="false" outlineLevel="0" collapsed="false">
      <c r="B14" s="3"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28"/>
    <col collapsed="false" customWidth="true" hidden="false" outlineLevel="0" max="4" min="4" style="0" width="14"/>
    <col collapsed="false" customWidth="true" hidden="false" outlineLevel="0" max="5" min="5" style="0" width="12"/>
    <col collapsed="false" customWidth="true" hidden="false" outlineLevel="0" max="6" min="6" style="0" width="15"/>
    <col collapsed="false" customWidth="true" hidden="false" outlineLevel="0" max="8" min="7" style="0" width="9"/>
    <col collapsed="false" customWidth="true" hidden="false" outlineLevel="0" max="10" min="9" style="0" width="12"/>
    <col collapsed="false" customWidth="true" hidden="false" outlineLevel="0" max="12" min="11" style="0" width="14"/>
    <col collapsed="false" customWidth="true" hidden="false" outlineLevel="0" max="17" min="13" style="0" width="9"/>
    <col collapsed="false" customWidth="true" hidden="false" outlineLevel="0" max="19" min="18" style="0" width="12"/>
    <col collapsed="false" customWidth="true" hidden="false" outlineLevel="0" max="20" min="20" style="0" width="11"/>
    <col collapsed="false" customWidth="true" hidden="false" outlineLevel="0" max="21" min="21" style="0" width="12"/>
  </cols>
  <sheetData>
    <row r="1" customFormat="false" ht="15" hidden="false" customHeight="false" outlineLevel="0" collapsed="false">
      <c r="A1" s="6" t="s">
        <v>10</v>
      </c>
      <c r="B1" s="6"/>
      <c r="C1" s="6"/>
      <c r="D1" s="6"/>
      <c r="E1" s="6"/>
      <c r="F1" s="6"/>
      <c r="G1" s="6"/>
      <c r="H1" s="6"/>
      <c r="I1" s="6"/>
      <c r="J1" s="6"/>
      <c r="K1" s="6"/>
      <c r="L1" s="6"/>
      <c r="M1" s="6"/>
      <c r="N1" s="6"/>
      <c r="O1" s="6"/>
      <c r="P1" s="6"/>
      <c r="Q1" s="6"/>
      <c r="R1" s="6"/>
      <c r="S1" s="6"/>
      <c r="T1" s="6"/>
      <c r="U1" s="6"/>
    </row>
    <row r="2" customFormat="false" ht="27.75" hidden="false" customHeight="true" outlineLevel="0" collapsed="false">
      <c r="A2" s="7" t="s">
        <v>11</v>
      </c>
      <c r="B2" s="7"/>
      <c r="C2" s="7"/>
      <c r="D2" s="7"/>
      <c r="E2" s="7"/>
      <c r="F2" s="7"/>
      <c r="G2" s="7"/>
      <c r="H2" s="7"/>
      <c r="I2" s="7"/>
      <c r="J2" s="7"/>
      <c r="K2" s="7"/>
      <c r="L2" s="7"/>
      <c r="M2" s="7"/>
      <c r="N2" s="7"/>
      <c r="O2" s="7"/>
      <c r="P2" s="7"/>
      <c r="Q2" s="7"/>
      <c r="R2" s="7"/>
      <c r="S2" s="7"/>
      <c r="T2" s="7"/>
      <c r="U2" s="7"/>
    </row>
    <row r="4" customFormat="false" ht="30" hidden="false" customHeight="true" outlineLevel="0" collapsed="false">
      <c r="A4" s="8" t="s">
        <v>12</v>
      </c>
      <c r="B4" s="8" t="s">
        <v>13</v>
      </c>
      <c r="C4" s="8" t="s">
        <v>14</v>
      </c>
      <c r="D4" s="8" t="s">
        <v>15</v>
      </c>
      <c r="E4" s="8" t="s">
        <v>16</v>
      </c>
      <c r="F4" s="8" t="s">
        <v>17</v>
      </c>
      <c r="G4" s="8" t="s">
        <v>18</v>
      </c>
      <c r="H4" s="8" t="s">
        <v>19</v>
      </c>
      <c r="I4" s="8" t="s">
        <v>20</v>
      </c>
      <c r="J4" s="8" t="s">
        <v>21</v>
      </c>
      <c r="K4" s="8" t="s">
        <v>22</v>
      </c>
      <c r="L4" s="8" t="s">
        <v>23</v>
      </c>
      <c r="M4" s="8" t="s">
        <v>24</v>
      </c>
      <c r="N4" s="8" t="s">
        <v>25</v>
      </c>
      <c r="O4" s="8" t="s">
        <v>26</v>
      </c>
      <c r="P4" s="8" t="s">
        <v>27</v>
      </c>
      <c r="Q4" s="8" t="s">
        <v>28</v>
      </c>
      <c r="R4" s="8" t="s">
        <v>29</v>
      </c>
      <c r="S4" s="8" t="s">
        <v>30</v>
      </c>
      <c r="T4" s="8" t="s">
        <v>31</v>
      </c>
      <c r="U4" s="8" t="s">
        <v>32</v>
      </c>
    </row>
    <row r="5" customFormat="false" ht="35.05" hidden="false" customHeight="false" outlineLevel="0" collapsed="false">
      <c r="A5" s="9" t="s">
        <v>33</v>
      </c>
      <c r="B5" s="9" t="s">
        <v>34</v>
      </c>
      <c r="C5" s="10" t="s">
        <v>35</v>
      </c>
      <c r="D5" s="9" t="s">
        <v>36</v>
      </c>
      <c r="E5" s="11" t="n">
        <v>602.3</v>
      </c>
      <c r="F5" s="12" t="n">
        <v>17608.81</v>
      </c>
      <c r="G5" s="13" t="n">
        <v>21.02</v>
      </c>
      <c r="H5" s="14" t="n">
        <f aca="false">IFERROR(F5/K5,"n/a")</f>
        <v>1.7447369490108</v>
      </c>
      <c r="I5" s="11" t="n">
        <v>688</v>
      </c>
      <c r="J5" s="11" t="n">
        <v>383.7</v>
      </c>
      <c r="K5" s="12" t="n">
        <v>10092.53</v>
      </c>
      <c r="L5" s="12" t="n">
        <v>753.2</v>
      </c>
      <c r="M5" s="15" t="n">
        <v>0.151</v>
      </c>
      <c r="N5" s="15" t="n">
        <v>0.075</v>
      </c>
      <c r="O5" s="15" t="n">
        <v>0.0829</v>
      </c>
      <c r="P5" s="15" t="n">
        <v>0.0886</v>
      </c>
      <c r="Q5" s="16" t="n">
        <v>0.1</v>
      </c>
      <c r="R5" s="17" t="s">
        <v>37</v>
      </c>
      <c r="S5" s="17" t="s">
        <v>37</v>
      </c>
      <c r="T5" s="15" t="n">
        <v>0.0081</v>
      </c>
      <c r="U5" s="15" t="n">
        <v>0.6444</v>
      </c>
    </row>
    <row r="6" customFormat="false" ht="35.05" hidden="false" customHeight="false" outlineLevel="0" collapsed="false">
      <c r="A6" s="18" t="s">
        <v>38</v>
      </c>
      <c r="B6" s="18" t="s">
        <v>39</v>
      </c>
      <c r="C6" s="19" t="s">
        <v>40</v>
      </c>
      <c r="D6" s="18" t="s">
        <v>36</v>
      </c>
      <c r="E6" s="20" t="n">
        <v>24.94</v>
      </c>
      <c r="F6" s="21" t="n">
        <v>12652.34</v>
      </c>
      <c r="G6" s="22" t="n">
        <v>33.55</v>
      </c>
      <c r="H6" s="23" t="n">
        <f aca="false">IFERROR(F6/K6,"n/a")</f>
        <v>1.86750405904059</v>
      </c>
      <c r="I6" s="20" t="n">
        <v>30.94</v>
      </c>
      <c r="J6" s="20" t="n">
        <v>21.98</v>
      </c>
      <c r="K6" s="21" t="n">
        <v>6775</v>
      </c>
      <c r="L6" s="21" t="n">
        <v>377</v>
      </c>
      <c r="M6" s="24" t="n">
        <v>0.1404</v>
      </c>
      <c r="N6" s="24" t="n">
        <v>0.0556</v>
      </c>
      <c r="O6" s="24" t="n">
        <v>0.0961</v>
      </c>
      <c r="P6" s="24" t="n">
        <v>0.1073</v>
      </c>
      <c r="Q6" s="25" t="n">
        <v>0.22</v>
      </c>
      <c r="R6" s="24" t="n">
        <v>0.0819</v>
      </c>
      <c r="S6" s="24" t="n">
        <v>-0.2336</v>
      </c>
      <c r="T6" s="24" t="n">
        <v>0.02</v>
      </c>
      <c r="U6" s="24" t="n">
        <v>0.7368</v>
      </c>
    </row>
    <row r="7" customFormat="false" ht="35.05" hidden="false" customHeight="false" outlineLevel="0" collapsed="false">
      <c r="A7" s="9" t="s">
        <v>41</v>
      </c>
      <c r="B7" s="9" t="s">
        <v>42</v>
      </c>
      <c r="C7" s="10" t="s">
        <v>43</v>
      </c>
      <c r="D7" s="9" t="s">
        <v>44</v>
      </c>
      <c r="E7" s="11" t="n">
        <v>178.2</v>
      </c>
      <c r="F7" s="12" t="n">
        <v>17053</v>
      </c>
      <c r="G7" s="13" t="n">
        <v>53.14</v>
      </c>
      <c r="H7" s="14" t="n">
        <f aca="false">IFERROR(F7/K7,"n/a")</f>
        <v>1.81432071759986</v>
      </c>
      <c r="I7" s="11" t="n">
        <v>182.9</v>
      </c>
      <c r="J7" s="11" t="n">
        <v>107.1</v>
      </c>
      <c r="K7" s="12" t="n">
        <v>9399.11</v>
      </c>
      <c r="L7" s="12" t="n">
        <v>212.89</v>
      </c>
      <c r="M7" s="15" t="n">
        <v>0.0917</v>
      </c>
      <c r="N7" s="15" t="n">
        <v>0.0227</v>
      </c>
      <c r="O7" s="15" t="n">
        <v>0.0451</v>
      </c>
      <c r="P7" s="15" t="n">
        <v>0.058</v>
      </c>
      <c r="Q7" s="16" t="n">
        <v>0.68</v>
      </c>
      <c r="R7" s="15" t="n">
        <v>0.06</v>
      </c>
      <c r="S7" s="15" t="n">
        <v>0.016</v>
      </c>
      <c r="T7" s="15" t="n">
        <v>0.0095</v>
      </c>
      <c r="U7" s="15" t="n">
        <v>0.664</v>
      </c>
    </row>
    <row r="8" customFormat="false" ht="23.85" hidden="false" customHeight="false" outlineLevel="0" collapsed="false">
      <c r="A8" s="18" t="s">
        <v>45</v>
      </c>
      <c r="B8" s="18" t="s">
        <v>46</v>
      </c>
      <c r="C8" s="19" t="s">
        <v>47</v>
      </c>
      <c r="D8" s="18" t="s">
        <v>36</v>
      </c>
      <c r="E8" s="20" t="n">
        <v>727.5</v>
      </c>
      <c r="F8" s="21" t="n">
        <v>4432.2</v>
      </c>
      <c r="G8" s="22" t="n">
        <v>102.1</v>
      </c>
      <c r="H8" s="23" t="n">
        <f aca="false">IFERROR(F8/K8,"n/a")</f>
        <v>0.643466898954704</v>
      </c>
      <c r="I8" s="20" t="n">
        <v>1350</v>
      </c>
      <c r="J8" s="20" t="n">
        <v>677</v>
      </c>
      <c r="K8" s="21" t="n">
        <v>6888</v>
      </c>
      <c r="L8" s="21" t="n">
        <v>46.17</v>
      </c>
      <c r="M8" s="24" t="n">
        <v>0.114</v>
      </c>
      <c r="N8" s="24" t="n">
        <v>0.0067</v>
      </c>
      <c r="O8" s="24" t="n">
        <v>0.0083</v>
      </c>
      <c r="P8" s="24" t="n">
        <v>0.0133</v>
      </c>
      <c r="Q8" s="25" t="n">
        <v>0.2</v>
      </c>
      <c r="R8" s="26" t="s">
        <v>37</v>
      </c>
      <c r="S8" s="26" t="s">
        <v>37</v>
      </c>
      <c r="T8" s="24" t="n">
        <v>0.0014</v>
      </c>
      <c r="U8" s="24" t="n">
        <v>0.5961</v>
      </c>
    </row>
    <row r="9" customFormat="false" ht="68.65" hidden="false" customHeight="false" outlineLevel="0" collapsed="false">
      <c r="A9" s="9" t="s">
        <v>48</v>
      </c>
      <c r="B9" s="9" t="s">
        <v>49</v>
      </c>
      <c r="C9" s="10" t="s">
        <v>50</v>
      </c>
      <c r="D9" s="9" t="s">
        <v>36</v>
      </c>
      <c r="E9" s="11" t="n">
        <v>548.35</v>
      </c>
      <c r="F9" s="12" t="n">
        <v>15556.64</v>
      </c>
      <c r="G9" s="13" t="n">
        <v>36.3</v>
      </c>
      <c r="H9" s="14" t="n">
        <f aca="false">IFERROR(F9/K9,"n/a")</f>
        <v>1.67218341235641</v>
      </c>
      <c r="I9" s="11" t="n">
        <v>600</v>
      </c>
      <c r="J9" s="11" t="n">
        <v>274.8</v>
      </c>
      <c r="K9" s="12" t="n">
        <v>9303.19</v>
      </c>
      <c r="L9" s="12" t="n">
        <v>426.97</v>
      </c>
      <c r="M9" s="15" t="n">
        <v>0.114</v>
      </c>
      <c r="N9" s="15" t="n">
        <v>0.0459</v>
      </c>
      <c r="O9" s="15" t="n">
        <v>0.0934</v>
      </c>
      <c r="P9" s="15" t="n">
        <v>0.1553</v>
      </c>
      <c r="Q9" s="16" t="n">
        <v>0.36</v>
      </c>
      <c r="R9" s="15" t="n">
        <v>0.035</v>
      </c>
      <c r="S9" s="15" t="n">
        <v>0.011</v>
      </c>
      <c r="T9" s="15" t="n">
        <v>0.0082</v>
      </c>
      <c r="U9" s="15" t="n">
        <v>0.3953</v>
      </c>
    </row>
    <row r="10" customFormat="false" ht="35.05" hidden="false" customHeight="false" outlineLevel="0" collapsed="false">
      <c r="A10" s="18" t="s">
        <v>51</v>
      </c>
      <c r="B10" s="18" t="s">
        <v>52</v>
      </c>
      <c r="C10" s="19" t="s">
        <v>53</v>
      </c>
      <c r="D10" s="18" t="s">
        <v>36</v>
      </c>
      <c r="E10" s="20" t="n">
        <v>1116</v>
      </c>
      <c r="F10" s="21" t="n">
        <v>38400</v>
      </c>
      <c r="G10" s="22" t="n">
        <v>41.6</v>
      </c>
      <c r="H10" s="23" t="n">
        <f aca="false">IFERROR(F10/K10,"n/a")</f>
        <v>5.66037735849057</v>
      </c>
      <c r="I10" s="20" t="n">
        <v>1334</v>
      </c>
      <c r="J10" s="20" t="n">
        <v>796.1</v>
      </c>
      <c r="K10" s="21" t="n">
        <v>6784</v>
      </c>
      <c r="L10" s="21" t="n">
        <v>866.5</v>
      </c>
      <c r="M10" s="24" t="n">
        <v>0.2065</v>
      </c>
      <c r="N10" s="24" t="n">
        <v>0.1277</v>
      </c>
      <c r="O10" s="24" t="n">
        <v>0.157</v>
      </c>
      <c r="P10" s="24" t="n">
        <v>0.196</v>
      </c>
      <c r="Q10" s="25" t="n">
        <v>0.1</v>
      </c>
      <c r="R10" s="24" t="n">
        <v>0.028</v>
      </c>
      <c r="S10" s="24" t="n">
        <v>0.01</v>
      </c>
      <c r="T10" s="24" t="n">
        <v>0.0045</v>
      </c>
      <c r="U10" s="24" t="n">
        <v>0.675</v>
      </c>
    </row>
    <row r="11" customFormat="false" ht="23.85" hidden="false" customHeight="false" outlineLevel="0" collapsed="false">
      <c r="A11" s="9" t="s">
        <v>54</v>
      </c>
      <c r="B11" s="9" t="s">
        <v>55</v>
      </c>
      <c r="C11" s="10" t="s">
        <v>56</v>
      </c>
      <c r="D11" s="9" t="s">
        <v>36</v>
      </c>
      <c r="E11" s="11" t="n">
        <v>36520</v>
      </c>
      <c r="F11" s="12" t="n">
        <v>42713.76</v>
      </c>
      <c r="G11" s="13" t="n">
        <v>55.64</v>
      </c>
      <c r="H11" s="14" t="n">
        <f aca="false">IFERROR(F11/K11,"n/a")</f>
        <v>8.14091636807197</v>
      </c>
      <c r="I11" s="11" t="n">
        <v>47310</v>
      </c>
      <c r="J11" s="11" t="n">
        <v>29805</v>
      </c>
      <c r="K11" s="12" t="n">
        <v>5246.8</v>
      </c>
      <c r="L11" s="12" t="n">
        <v>763.8</v>
      </c>
      <c r="M11" s="15" t="n">
        <v>0.22</v>
      </c>
      <c r="N11" s="15" t="n">
        <v>0.146</v>
      </c>
      <c r="O11" s="15" t="n">
        <v>0.476</v>
      </c>
      <c r="P11" s="15" t="n">
        <v>0.682</v>
      </c>
      <c r="Q11" s="16" t="n">
        <v>0.02</v>
      </c>
      <c r="R11" s="15" t="n">
        <v>0.031</v>
      </c>
      <c r="S11" s="15" t="n">
        <v>0.106</v>
      </c>
      <c r="T11" s="15" t="n">
        <v>0.019</v>
      </c>
      <c r="U11" s="15" t="n">
        <v>0.4289</v>
      </c>
    </row>
    <row r="12" customFormat="false" ht="35.05" hidden="false" customHeight="false" outlineLevel="0" collapsed="false">
      <c r="A12" s="18" t="s">
        <v>57</v>
      </c>
      <c r="B12" s="18" t="s">
        <v>58</v>
      </c>
      <c r="C12" s="19" t="s">
        <v>59</v>
      </c>
      <c r="D12" s="18" t="s">
        <v>36</v>
      </c>
      <c r="E12" s="20" t="n">
        <v>773.59</v>
      </c>
      <c r="F12" s="21" t="n">
        <v>5900</v>
      </c>
      <c r="G12" s="22" t="n">
        <v>58.9</v>
      </c>
      <c r="H12" s="23" t="n">
        <f aca="false">IFERROR(F12/K12,"n/a")</f>
        <v>1.47957187710024</v>
      </c>
      <c r="I12" s="20" t="n">
        <v>954.9</v>
      </c>
      <c r="J12" s="20" t="n">
        <v>531</v>
      </c>
      <c r="K12" s="21" t="n">
        <v>3987.64</v>
      </c>
      <c r="L12" s="21" t="n">
        <v>100.13</v>
      </c>
      <c r="M12" s="24" t="n">
        <v>0.096</v>
      </c>
      <c r="N12" s="24" t="n">
        <v>0.0251</v>
      </c>
      <c r="O12" s="24" t="n">
        <v>0.071</v>
      </c>
      <c r="P12" s="24" t="n">
        <v>0.086</v>
      </c>
      <c r="Q12" s="25" t="n">
        <v>0.32</v>
      </c>
      <c r="R12" s="24" t="n">
        <v>0.2094</v>
      </c>
      <c r="S12" s="24" t="n">
        <v>0.6018</v>
      </c>
      <c r="T12" s="24" t="n">
        <v>0.0012</v>
      </c>
      <c r="U12" s="24" t="n">
        <v>0.0915</v>
      </c>
    </row>
    <row r="13" customFormat="false" ht="15" hidden="false" customHeight="false" outlineLevel="0" collapsed="false">
      <c r="A13" s="27" t="s">
        <v>60</v>
      </c>
      <c r="B13" s="28"/>
      <c r="C13" s="28"/>
      <c r="D13" s="28"/>
      <c r="E13" s="29" t="n">
        <f aca="false">AVERAGE(E5:E12)</f>
        <v>5061.36</v>
      </c>
      <c r="F13" s="30" t="n">
        <f aca="false">AVERAGE(F5:F12)</f>
        <v>19289.59375</v>
      </c>
      <c r="G13" s="31" t="n">
        <f aca="false">AVERAGE(G5:G12)</f>
        <v>50.28125</v>
      </c>
      <c r="H13" s="31" t="n">
        <f aca="false">AVERAGE(H5:H12)</f>
        <v>2.87788470507814</v>
      </c>
      <c r="I13" s="29" t="n">
        <f aca="false">AVERAGE(I5:I12)</f>
        <v>6556.3425</v>
      </c>
      <c r="J13" s="29" t="n">
        <f aca="false">AVERAGE(J5:J12)</f>
        <v>4074.585</v>
      </c>
      <c r="K13" s="30" t="n">
        <f aca="false">AVERAGE(K5:K12)</f>
        <v>7309.53375</v>
      </c>
      <c r="L13" s="30" t="n">
        <f aca="false">AVERAGE(L5:L12)</f>
        <v>443.3325</v>
      </c>
      <c r="M13" s="32" t="n">
        <f aca="false">AVERAGE(M5:M12)</f>
        <v>0.1417</v>
      </c>
      <c r="N13" s="32" t="n">
        <f aca="false">AVERAGE(N5:N12)</f>
        <v>0.0630875</v>
      </c>
      <c r="O13" s="32" t="n">
        <f aca="false">AVERAGE(O5:O12)</f>
        <v>0.128725</v>
      </c>
      <c r="P13" s="32" t="n">
        <f aca="false">AVERAGE(P5:P12)</f>
        <v>0.1733125</v>
      </c>
      <c r="Q13" s="33" t="n">
        <f aca="false">AVERAGE(Q5:Q12)</f>
        <v>0.25</v>
      </c>
      <c r="R13" s="32" t="n">
        <f aca="false">AVERAGE(R5:R12)</f>
        <v>0.0742166666666667</v>
      </c>
      <c r="S13" s="32" t="n">
        <f aca="false">AVERAGE(S5:S12)</f>
        <v>0.0852</v>
      </c>
      <c r="T13" s="32" t="n">
        <f aca="false">AVERAGE(T5:T12)</f>
        <v>0.0089875</v>
      </c>
      <c r="U13" s="32" t="n">
        <f aca="false">AVERAGE(U5:U12)</f>
        <v>0.529</v>
      </c>
    </row>
    <row r="14" customFormat="false" ht="15" hidden="false" customHeight="false" outlineLevel="0" collapsed="false">
      <c r="A14" s="27" t="s">
        <v>61</v>
      </c>
      <c r="B14" s="28"/>
      <c r="C14" s="28"/>
      <c r="D14" s="28"/>
      <c r="E14" s="29" t="n">
        <f aca="false">MEDIAN(E5:E12)</f>
        <v>664.9</v>
      </c>
      <c r="F14" s="30" t="n">
        <f aca="false">MEDIAN(F5:F12)</f>
        <v>16304.82</v>
      </c>
      <c r="G14" s="31" t="n">
        <f aca="false">MEDIAN(G5:G12)</f>
        <v>47.37</v>
      </c>
      <c r="H14" s="31" t="n">
        <f aca="false">MEDIAN(H5:H12)</f>
        <v>1.77952883330533</v>
      </c>
      <c r="I14" s="29" t="n">
        <f aca="false">MEDIAN(I5:I12)</f>
        <v>821.45</v>
      </c>
      <c r="J14" s="29" t="n">
        <f aca="false">MEDIAN(J5:J12)</f>
        <v>457.35</v>
      </c>
      <c r="K14" s="30" t="n">
        <f aca="false">MEDIAN(K5:K12)</f>
        <v>6836</v>
      </c>
      <c r="L14" s="30" t="n">
        <f aca="false">MEDIAN(L5:L12)</f>
        <v>401.985</v>
      </c>
      <c r="M14" s="32" t="n">
        <f aca="false">MEDIAN(M5:M12)</f>
        <v>0.1272</v>
      </c>
      <c r="N14" s="32" t="n">
        <f aca="false">MEDIAN(N5:N12)</f>
        <v>0.05075</v>
      </c>
      <c r="O14" s="32" t="n">
        <f aca="false">MEDIAN(O5:O12)</f>
        <v>0.08815</v>
      </c>
      <c r="P14" s="32" t="n">
        <f aca="false">MEDIAN(P5:P12)</f>
        <v>0.09795</v>
      </c>
      <c r="Q14" s="33" t="n">
        <f aca="false">MEDIAN(Q5:Q12)</f>
        <v>0.21</v>
      </c>
      <c r="R14" s="32" t="n">
        <f aca="false">MEDIAN(R5:R12)</f>
        <v>0.0475</v>
      </c>
      <c r="S14" s="32" t="n">
        <f aca="false">MEDIAN(S5:S12)</f>
        <v>0.0135</v>
      </c>
      <c r="T14" s="32" t="n">
        <f aca="false">MEDIAN(T5:T12)</f>
        <v>0.00815</v>
      </c>
      <c r="U14" s="32" t="n">
        <f aca="false">MEDIAN(U5:U12)</f>
        <v>0.62025</v>
      </c>
    </row>
    <row r="16" customFormat="false" ht="15" hidden="false" customHeight="false" outlineLevel="0" collapsed="false">
      <c r="A16" s="34" t="s">
        <v>62</v>
      </c>
    </row>
  </sheetData>
  <mergeCells count="2">
    <mergeCell ref="A1:U1"/>
    <mergeCell ref="A2:U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95"/>
  </cols>
  <sheetData>
    <row r="1" customFormat="false" ht="15" hidden="false" customHeight="false" outlineLevel="0" collapsed="false">
      <c r="A1" s="6" t="s">
        <v>63</v>
      </c>
      <c r="B1" s="6"/>
    </row>
    <row r="3" customFormat="false" ht="105" hidden="false" customHeight="true" outlineLevel="0" collapsed="false">
      <c r="A3" s="35" t="s">
        <v>64</v>
      </c>
      <c r="B3" s="36" t="s">
        <v>65</v>
      </c>
    </row>
    <row r="4" customFormat="false" ht="105" hidden="false" customHeight="true" outlineLevel="0" collapsed="false">
      <c r="A4" s="35" t="s">
        <v>66</v>
      </c>
      <c r="B4" s="36" t="s">
        <v>67</v>
      </c>
    </row>
    <row r="5" customFormat="false" ht="120" hidden="false" customHeight="true" outlineLevel="0" collapsed="false">
      <c r="A5" s="35" t="s">
        <v>68</v>
      </c>
      <c r="B5" s="36" t="s">
        <v>69</v>
      </c>
    </row>
    <row r="6" customFormat="false" ht="225" hidden="false" customHeight="true" outlineLevel="0" collapsed="false">
      <c r="A6" s="35" t="s">
        <v>70</v>
      </c>
      <c r="B6" s="36" t="s">
        <v>71</v>
      </c>
    </row>
    <row r="7" customFormat="false" ht="255" hidden="false" customHeight="true" outlineLevel="0" collapsed="false">
      <c r="A7" s="35" t="s">
        <v>72</v>
      </c>
      <c r="B7" s="36" t="s">
        <v>73</v>
      </c>
    </row>
    <row r="8" customFormat="false" ht="255" hidden="false" customHeight="true" outlineLevel="0" collapsed="false">
      <c r="A8" s="35" t="s">
        <v>74</v>
      </c>
      <c r="B8" s="36" t="s">
        <v>75</v>
      </c>
    </row>
    <row r="10" customFormat="false" ht="15" hidden="false" customHeight="false" outlineLevel="0" collapsed="false">
      <c r="A10" s="27" t="s">
        <v>76</v>
      </c>
      <c r="B10" s="27"/>
    </row>
    <row r="11" customFormat="false" ht="30" hidden="false" customHeight="true" outlineLevel="0" collapsed="false">
      <c r="A11" s="37" t="s">
        <v>77</v>
      </c>
      <c r="B11" s="36" t="s">
        <v>78</v>
      </c>
    </row>
    <row r="12" customFormat="false" ht="30" hidden="false" customHeight="true" outlineLevel="0" collapsed="false">
      <c r="A12" s="37" t="s">
        <v>77</v>
      </c>
      <c r="B12" s="36" t="s">
        <v>79</v>
      </c>
    </row>
    <row r="13" customFormat="false" ht="30" hidden="false" customHeight="true" outlineLevel="0" collapsed="false">
      <c r="A13" s="37" t="s">
        <v>77</v>
      </c>
      <c r="B13" s="36" t="s">
        <v>80</v>
      </c>
    </row>
    <row r="14" customFormat="false" ht="30" hidden="false" customHeight="true" outlineLevel="0" collapsed="false">
      <c r="A14" s="37" t="s">
        <v>77</v>
      </c>
      <c r="B14" s="36" t="s">
        <v>81</v>
      </c>
    </row>
    <row r="15" customFormat="false" ht="30" hidden="false" customHeight="true" outlineLevel="0" collapsed="false">
      <c r="A15" s="37" t="s">
        <v>77</v>
      </c>
      <c r="B15" s="36" t="s">
        <v>82</v>
      </c>
    </row>
    <row r="16" customFormat="false" ht="30" hidden="false" customHeight="true" outlineLevel="0" collapsed="false">
      <c r="A16" s="37" t="s">
        <v>77</v>
      </c>
      <c r="B16" s="36" t="s">
        <v>83</v>
      </c>
    </row>
    <row r="17" customFormat="false" ht="30" hidden="false" customHeight="true" outlineLevel="0" collapsed="false">
      <c r="A17" s="37" t="s">
        <v>77</v>
      </c>
      <c r="B17" s="36" t="s">
        <v>84</v>
      </c>
    </row>
    <row r="18" customFormat="false" ht="30" hidden="false" customHeight="true" outlineLevel="0" collapsed="false">
      <c r="A18" s="37" t="s">
        <v>77</v>
      </c>
      <c r="B18" s="36" t="s">
        <v>85</v>
      </c>
    </row>
    <row r="20" customFormat="false" ht="15" hidden="false" customHeight="false" outlineLevel="0" collapsed="false">
      <c r="A20" s="27" t="s">
        <v>86</v>
      </c>
      <c r="B20" s="27"/>
    </row>
    <row r="21" customFormat="false" ht="60" hidden="false" customHeight="true" outlineLevel="0" collapsed="false">
      <c r="A21" s="37" t="s">
        <v>77</v>
      </c>
      <c r="B21" s="36" t="s">
        <v>87</v>
      </c>
    </row>
    <row r="22" customFormat="false" ht="45" hidden="false" customHeight="true" outlineLevel="0" collapsed="false">
      <c r="A22" s="37" t="s">
        <v>77</v>
      </c>
      <c r="B22" s="36" t="s">
        <v>88</v>
      </c>
    </row>
    <row r="23" customFormat="false" ht="30" hidden="false" customHeight="true" outlineLevel="0" collapsed="false">
      <c r="A23" s="37" t="s">
        <v>77</v>
      </c>
      <c r="B23" s="36" t="s">
        <v>89</v>
      </c>
    </row>
    <row r="24" customFormat="false" ht="30" hidden="false" customHeight="true" outlineLevel="0" collapsed="false">
      <c r="A24" s="37" t="s">
        <v>77</v>
      </c>
      <c r="B24" s="36" t="s">
        <v>90</v>
      </c>
    </row>
    <row r="25" customFormat="false" ht="30" hidden="false" customHeight="true" outlineLevel="0" collapsed="false">
      <c r="A25" s="37" t="s">
        <v>77</v>
      </c>
      <c r="B25" s="36" t="s">
        <v>91</v>
      </c>
    </row>
    <row r="26" customFormat="false" ht="60" hidden="false" customHeight="true" outlineLevel="0" collapsed="false">
      <c r="A26" s="37" t="s">
        <v>77</v>
      </c>
      <c r="B26" s="36" t="s">
        <v>92</v>
      </c>
    </row>
    <row r="27" customFormat="false" ht="45" hidden="false" customHeight="true" outlineLevel="0" collapsed="false">
      <c r="A27" s="37" t="s">
        <v>77</v>
      </c>
      <c r="B27" s="36" t="s">
        <v>93</v>
      </c>
    </row>
    <row r="28" customFormat="false" ht="30" hidden="false" customHeight="true" outlineLevel="0" collapsed="false">
      <c r="A28" s="37" t="s">
        <v>77</v>
      </c>
      <c r="B28" s="36" t="s">
        <v>94</v>
      </c>
    </row>
    <row r="30" customFormat="false" ht="15" hidden="false" customHeight="false" outlineLevel="0" collapsed="false">
      <c r="A30" s="27" t="s">
        <v>95</v>
      </c>
      <c r="B30" s="27"/>
    </row>
    <row r="31" customFormat="false" ht="45" hidden="false" customHeight="true" outlineLevel="0" collapsed="false">
      <c r="A31" s="37" t="s">
        <v>77</v>
      </c>
      <c r="B31" s="36" t="s">
        <v>96</v>
      </c>
    </row>
    <row r="32" customFormat="false" ht="105" hidden="false" customHeight="true" outlineLevel="0" collapsed="false">
      <c r="A32" s="37" t="s">
        <v>77</v>
      </c>
      <c r="B32" s="36" t="s">
        <v>97</v>
      </c>
    </row>
    <row r="33" customFormat="false" ht="60" hidden="false" customHeight="true" outlineLevel="0" collapsed="false">
      <c r="A33" s="37" t="s">
        <v>77</v>
      </c>
      <c r="B33" s="36" t="s">
        <v>98</v>
      </c>
    </row>
    <row r="34" customFormat="false" ht="75" hidden="false" customHeight="true" outlineLevel="0" collapsed="false">
      <c r="A34" s="37" t="s">
        <v>77</v>
      </c>
      <c r="B34" s="36" t="s">
        <v>99</v>
      </c>
    </row>
    <row r="35" customFormat="false" ht="60" hidden="false" customHeight="true" outlineLevel="0" collapsed="false">
      <c r="A35" s="37" t="s">
        <v>77</v>
      </c>
      <c r="B35" s="36" t="s">
        <v>100</v>
      </c>
    </row>
    <row r="36" customFormat="false" ht="45" hidden="false" customHeight="true" outlineLevel="0" collapsed="false">
      <c r="A36" s="37" t="s">
        <v>77</v>
      </c>
      <c r="B36" s="36" t="s">
        <v>101</v>
      </c>
    </row>
    <row r="37" customFormat="false" ht="30" hidden="false" customHeight="true" outlineLevel="0" collapsed="false">
      <c r="A37" s="37" t="s">
        <v>77</v>
      </c>
      <c r="B37" s="36" t="s">
        <v>102</v>
      </c>
    </row>
    <row r="40" customFormat="false" ht="15" hidden="false" customHeight="false" outlineLevel="0" collapsed="false">
      <c r="A40" s="5" t="s">
        <v>103</v>
      </c>
    </row>
    <row r="41" customFormat="false" ht="15" hidden="false" customHeight="false" outlineLevel="0" collapsed="false">
      <c r="A41" s="38" t="s">
        <v>104</v>
      </c>
      <c r="B41" s="38"/>
    </row>
    <row r="42" customFormat="false" ht="15" hidden="false" customHeight="false" outlineLevel="0" collapsed="false">
      <c r="A42" s="38" t="s">
        <v>105</v>
      </c>
      <c r="B42" s="38"/>
    </row>
    <row r="43" customFormat="false" ht="15" hidden="false" customHeight="false" outlineLevel="0" collapsed="false">
      <c r="A43" s="38" t="s">
        <v>106</v>
      </c>
      <c r="B43" s="38"/>
    </row>
    <row r="44" customFormat="false" ht="15" hidden="false" customHeight="false" outlineLevel="0" collapsed="false">
      <c r="A44" s="38" t="s">
        <v>107</v>
      </c>
      <c r="B44" s="38"/>
    </row>
    <row r="45" customFormat="false" ht="15" hidden="false" customHeight="false" outlineLevel="0" collapsed="false">
      <c r="A45" s="38" t="s">
        <v>108</v>
      </c>
      <c r="B45" s="38"/>
    </row>
    <row r="46" customFormat="false" ht="15" hidden="false" customHeight="false" outlineLevel="0" collapsed="false">
      <c r="A46" s="38" t="s">
        <v>109</v>
      </c>
      <c r="B46" s="38"/>
    </row>
    <row r="47" customFormat="false" ht="15" hidden="false" customHeight="false" outlineLevel="0" collapsed="false">
      <c r="A47" s="38" t="s">
        <v>110</v>
      </c>
      <c r="B47" s="38"/>
    </row>
    <row r="48" customFormat="false" ht="15" hidden="false" customHeight="false" outlineLevel="0" collapsed="false">
      <c r="A48" s="38" t="s">
        <v>111</v>
      </c>
      <c r="B48" s="38"/>
    </row>
    <row r="49" customFormat="false" ht="15" hidden="false" customHeight="false" outlineLevel="0" collapsed="false">
      <c r="A49" s="38" t="s">
        <v>112</v>
      </c>
      <c r="B49" s="38"/>
    </row>
    <row r="50" customFormat="false" ht="15" hidden="false" customHeight="false" outlineLevel="0" collapsed="false">
      <c r="A50" s="38" t="s">
        <v>113</v>
      </c>
      <c r="B50" s="38"/>
    </row>
    <row r="51" customFormat="false" ht="15" hidden="false" customHeight="false" outlineLevel="0" collapsed="false">
      <c r="A51" s="38" t="s">
        <v>114</v>
      </c>
      <c r="B51" s="38"/>
    </row>
    <row r="52" customFormat="false" ht="15" hidden="false" customHeight="false" outlineLevel="0" collapsed="false">
      <c r="A52" s="38" t="s">
        <v>115</v>
      </c>
      <c r="B52" s="38"/>
    </row>
    <row r="53" customFormat="false" ht="15" hidden="false" customHeight="false" outlineLevel="0" collapsed="false">
      <c r="A53" s="38" t="s">
        <v>116</v>
      </c>
      <c r="B53" s="38"/>
    </row>
    <row r="54" customFormat="false" ht="15" hidden="false" customHeight="false" outlineLevel="0" collapsed="false">
      <c r="A54" s="38" t="s">
        <v>117</v>
      </c>
      <c r="B54" s="38"/>
    </row>
    <row r="55" customFormat="false" ht="15" hidden="false" customHeight="false" outlineLevel="0" collapsed="false">
      <c r="A55" s="38" t="s">
        <v>118</v>
      </c>
      <c r="B55" s="38"/>
    </row>
    <row r="56" customFormat="false" ht="15" hidden="false" customHeight="false" outlineLevel="0" collapsed="false">
      <c r="A56" s="38" t="s">
        <v>119</v>
      </c>
      <c r="B56" s="38"/>
    </row>
    <row r="57" customFormat="false" ht="15" hidden="false" customHeight="false" outlineLevel="0" collapsed="false">
      <c r="A57" s="38" t="s">
        <v>120</v>
      </c>
      <c r="B57" s="38"/>
    </row>
    <row r="58" customFormat="false" ht="15" hidden="false" customHeight="false" outlineLevel="0" collapsed="false">
      <c r="A58" s="38" t="s">
        <v>121</v>
      </c>
      <c r="B58" s="38"/>
    </row>
    <row r="59" customFormat="false" ht="15" hidden="false" customHeight="false" outlineLevel="0" collapsed="false">
      <c r="A59" s="38" t="s">
        <v>122</v>
      </c>
      <c r="B59" s="38"/>
    </row>
    <row r="60" customFormat="false" ht="15" hidden="false" customHeight="false" outlineLevel="0" collapsed="false">
      <c r="A60" s="38" t="s">
        <v>123</v>
      </c>
      <c r="B60" s="38"/>
    </row>
    <row r="61" customFormat="false" ht="15" hidden="false" customHeight="false" outlineLevel="0" collapsed="false">
      <c r="A61" s="38" t="s">
        <v>124</v>
      </c>
      <c r="B61" s="38"/>
    </row>
    <row r="62" customFormat="false" ht="15" hidden="false" customHeight="false" outlineLevel="0" collapsed="false">
      <c r="A62" s="38" t="s">
        <v>125</v>
      </c>
      <c r="B62" s="38"/>
    </row>
    <row r="63" customFormat="false" ht="15" hidden="false" customHeight="false" outlineLevel="0" collapsed="false">
      <c r="A63" s="38" t="s">
        <v>126</v>
      </c>
      <c r="B63" s="38"/>
    </row>
    <row r="64" customFormat="false" ht="15" hidden="false" customHeight="false" outlineLevel="0" collapsed="false">
      <c r="A64" s="38" t="s">
        <v>127</v>
      </c>
      <c r="B64" s="38"/>
    </row>
    <row r="65" customFormat="false" ht="15" hidden="false" customHeight="false" outlineLevel="0" collapsed="false">
      <c r="A65" s="38" t="s">
        <v>128</v>
      </c>
      <c r="B65" s="38"/>
    </row>
    <row r="66" customFormat="false" ht="15" hidden="false" customHeight="false" outlineLevel="0" collapsed="false">
      <c r="A66" s="38" t="s">
        <v>129</v>
      </c>
      <c r="B66" s="38"/>
    </row>
  </sheetData>
  <mergeCells count="30">
    <mergeCell ref="A1:B1"/>
    <mergeCell ref="A10:B10"/>
    <mergeCell ref="A20:B20"/>
    <mergeCell ref="A30:B3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5" hidden="false" customHeight="false" outlineLevel="0" collapsed="false">
      <c r="A1" s="6" t="s">
        <v>130</v>
      </c>
      <c r="B1" s="6"/>
    </row>
    <row r="3" customFormat="false" ht="15" hidden="false" customHeight="false" outlineLevel="0" collapsed="false">
      <c r="A3" s="39" t="s">
        <v>33</v>
      </c>
      <c r="B3" s="39"/>
    </row>
    <row r="4" customFormat="false" ht="135" hidden="false" customHeight="true" outlineLevel="0" collapsed="false">
      <c r="A4" s="35" t="s">
        <v>131</v>
      </c>
      <c r="B4" s="40" t="s">
        <v>132</v>
      </c>
    </row>
    <row r="5" customFormat="false" ht="216" hidden="false" customHeight="true" outlineLevel="0" collapsed="false">
      <c r="A5" s="35" t="s">
        <v>133</v>
      </c>
      <c r="B5" s="40" t="s">
        <v>134</v>
      </c>
    </row>
    <row r="6" customFormat="false" ht="135" hidden="false" customHeight="true" outlineLevel="0" collapsed="false">
      <c r="A6" s="35" t="s">
        <v>86</v>
      </c>
      <c r="B6" s="40" t="s">
        <v>135</v>
      </c>
    </row>
    <row r="7" customFormat="false" ht="40.5" hidden="false" customHeight="true" outlineLevel="0" collapsed="false">
      <c r="A7" s="35" t="s">
        <v>136</v>
      </c>
      <c r="B7" s="40" t="s">
        <v>137</v>
      </c>
    </row>
    <row r="8" customFormat="false" ht="270" hidden="false" customHeight="true" outlineLevel="0" collapsed="false">
      <c r="A8" s="35" t="s">
        <v>138</v>
      </c>
      <c r="B8" s="40" t="s">
        <v>139</v>
      </c>
    </row>
    <row r="9" customFormat="false" ht="240" hidden="false" customHeight="true" outlineLevel="0" collapsed="false">
      <c r="A9" s="41" t="s">
        <v>103</v>
      </c>
      <c r="B9" s="42" t="s">
        <v>140</v>
      </c>
    </row>
    <row r="11" customFormat="false" ht="15" hidden="false" customHeight="false" outlineLevel="0" collapsed="false">
      <c r="A11" s="39" t="s">
        <v>38</v>
      </c>
      <c r="B11" s="39"/>
    </row>
    <row r="12" customFormat="false" ht="108" hidden="false" customHeight="true" outlineLevel="0" collapsed="false">
      <c r="A12" s="35" t="s">
        <v>131</v>
      </c>
      <c r="B12" s="40" t="s">
        <v>141</v>
      </c>
    </row>
    <row r="13" customFormat="false" ht="189" hidden="false" customHeight="true" outlineLevel="0" collapsed="false">
      <c r="A13" s="35" t="s">
        <v>133</v>
      </c>
      <c r="B13" s="40" t="s">
        <v>142</v>
      </c>
    </row>
    <row r="14" customFormat="false" ht="135" hidden="false" customHeight="true" outlineLevel="0" collapsed="false">
      <c r="A14" s="35" t="s">
        <v>86</v>
      </c>
      <c r="B14" s="40" t="s">
        <v>143</v>
      </c>
    </row>
    <row r="15" customFormat="false" ht="27" hidden="false" customHeight="true" outlineLevel="0" collapsed="false">
      <c r="A15" s="35" t="s">
        <v>136</v>
      </c>
      <c r="B15" s="40" t="s">
        <v>144</v>
      </c>
    </row>
    <row r="16" customFormat="false" ht="324" hidden="false" customHeight="true" outlineLevel="0" collapsed="false">
      <c r="A16" s="35" t="s">
        <v>138</v>
      </c>
      <c r="B16" s="40" t="s">
        <v>145</v>
      </c>
    </row>
    <row r="17" customFormat="false" ht="192" hidden="false" customHeight="true" outlineLevel="0" collapsed="false">
      <c r="A17" s="41" t="s">
        <v>103</v>
      </c>
      <c r="B17" s="42" t="s">
        <v>146</v>
      </c>
    </row>
    <row r="19" customFormat="false" ht="15" hidden="false" customHeight="false" outlineLevel="0" collapsed="false">
      <c r="A19" s="39" t="s">
        <v>41</v>
      </c>
      <c r="B19" s="39"/>
    </row>
    <row r="20" customFormat="false" ht="135" hidden="false" customHeight="true" outlineLevel="0" collapsed="false">
      <c r="A20" s="35" t="s">
        <v>131</v>
      </c>
      <c r="B20" s="40" t="s">
        <v>147</v>
      </c>
    </row>
    <row r="21" customFormat="false" ht="216" hidden="false" customHeight="true" outlineLevel="0" collapsed="false">
      <c r="A21" s="35" t="s">
        <v>133</v>
      </c>
      <c r="B21" s="40" t="s">
        <v>148</v>
      </c>
    </row>
    <row r="22" customFormat="false" ht="135" hidden="false" customHeight="true" outlineLevel="0" collapsed="false">
      <c r="A22" s="35" t="s">
        <v>86</v>
      </c>
      <c r="B22" s="40" t="s">
        <v>149</v>
      </c>
    </row>
    <row r="23" customFormat="false" ht="54" hidden="false" customHeight="true" outlineLevel="0" collapsed="false">
      <c r="A23" s="35" t="s">
        <v>136</v>
      </c>
      <c r="B23" s="40" t="s">
        <v>150</v>
      </c>
    </row>
    <row r="24" customFormat="false" ht="283.5" hidden="false" customHeight="true" outlineLevel="0" collapsed="false">
      <c r="A24" s="35" t="s">
        <v>138</v>
      </c>
      <c r="B24" s="40" t="s">
        <v>151</v>
      </c>
    </row>
    <row r="25" customFormat="false" ht="396" hidden="false" customHeight="true" outlineLevel="0" collapsed="false">
      <c r="A25" s="41" t="s">
        <v>103</v>
      </c>
      <c r="B25" s="42" t="s">
        <v>152</v>
      </c>
    </row>
    <row r="27" customFormat="false" ht="15" hidden="false" customHeight="false" outlineLevel="0" collapsed="false">
      <c r="A27" s="39" t="s">
        <v>45</v>
      </c>
      <c r="B27" s="39"/>
    </row>
    <row r="28" customFormat="false" ht="202.5" hidden="false" customHeight="true" outlineLevel="0" collapsed="false">
      <c r="A28" s="35" t="s">
        <v>131</v>
      </c>
      <c r="B28" s="40" t="s">
        <v>153</v>
      </c>
    </row>
    <row r="29" customFormat="false" ht="229.5" hidden="false" customHeight="true" outlineLevel="0" collapsed="false">
      <c r="A29" s="35" t="s">
        <v>133</v>
      </c>
      <c r="B29" s="40" t="s">
        <v>154</v>
      </c>
    </row>
    <row r="30" customFormat="false" ht="162" hidden="false" customHeight="true" outlineLevel="0" collapsed="false">
      <c r="A30" s="35" t="s">
        <v>86</v>
      </c>
      <c r="B30" s="40" t="s">
        <v>155</v>
      </c>
    </row>
    <row r="31" customFormat="false" ht="40.5" hidden="false" customHeight="true" outlineLevel="0" collapsed="false">
      <c r="A31" s="35" t="s">
        <v>136</v>
      </c>
      <c r="B31" s="40" t="s">
        <v>156</v>
      </c>
    </row>
    <row r="32" customFormat="false" ht="283.5" hidden="false" customHeight="true" outlineLevel="0" collapsed="false">
      <c r="A32" s="35" t="s">
        <v>138</v>
      </c>
      <c r="B32" s="40" t="s">
        <v>157</v>
      </c>
    </row>
    <row r="33" customFormat="false" ht="204" hidden="false" customHeight="true" outlineLevel="0" collapsed="false">
      <c r="A33" s="41" t="s">
        <v>103</v>
      </c>
      <c r="B33" s="42" t="s">
        <v>158</v>
      </c>
    </row>
    <row r="35" customFormat="false" ht="15" hidden="false" customHeight="false" outlineLevel="0" collapsed="false">
      <c r="A35" s="39" t="s">
        <v>48</v>
      </c>
      <c r="B35" s="39"/>
    </row>
    <row r="36" customFormat="false" ht="148.5" hidden="false" customHeight="true" outlineLevel="0" collapsed="false">
      <c r="A36" s="35" t="s">
        <v>131</v>
      </c>
      <c r="B36" s="40" t="s">
        <v>159</v>
      </c>
    </row>
    <row r="37" customFormat="false" ht="216" hidden="false" customHeight="true" outlineLevel="0" collapsed="false">
      <c r="A37" s="35" t="s">
        <v>133</v>
      </c>
      <c r="B37" s="40" t="s">
        <v>160</v>
      </c>
    </row>
    <row r="38" customFormat="false" ht="162" hidden="false" customHeight="true" outlineLevel="0" collapsed="false">
      <c r="A38" s="35" t="s">
        <v>86</v>
      </c>
      <c r="B38" s="40" t="s">
        <v>161</v>
      </c>
    </row>
    <row r="39" customFormat="false" ht="40.5" hidden="false" customHeight="true" outlineLevel="0" collapsed="false">
      <c r="A39" s="35" t="s">
        <v>136</v>
      </c>
      <c r="B39" s="40" t="s">
        <v>162</v>
      </c>
    </row>
    <row r="40" customFormat="false" ht="378" hidden="false" customHeight="true" outlineLevel="0" collapsed="false">
      <c r="A40" s="35" t="s">
        <v>138</v>
      </c>
      <c r="B40" s="40" t="s">
        <v>163</v>
      </c>
    </row>
    <row r="41" customFormat="false" ht="288" hidden="false" customHeight="true" outlineLevel="0" collapsed="false">
      <c r="A41" s="41" t="s">
        <v>103</v>
      </c>
      <c r="B41" s="42" t="s">
        <v>164</v>
      </c>
    </row>
    <row r="43" customFormat="false" ht="15" hidden="false" customHeight="false" outlineLevel="0" collapsed="false">
      <c r="A43" s="39" t="s">
        <v>51</v>
      </c>
      <c r="B43" s="39"/>
    </row>
    <row r="44" customFormat="false" ht="135" hidden="false" customHeight="true" outlineLevel="0" collapsed="false">
      <c r="A44" s="35" t="s">
        <v>131</v>
      </c>
      <c r="B44" s="40" t="s">
        <v>165</v>
      </c>
    </row>
    <row r="45" customFormat="false" ht="189" hidden="false" customHeight="true" outlineLevel="0" collapsed="false">
      <c r="A45" s="35" t="s">
        <v>133</v>
      </c>
      <c r="B45" s="40" t="s">
        <v>166</v>
      </c>
    </row>
    <row r="46" customFormat="false" ht="148.5" hidden="false" customHeight="true" outlineLevel="0" collapsed="false">
      <c r="A46" s="35" t="s">
        <v>86</v>
      </c>
      <c r="B46" s="40" t="s">
        <v>167</v>
      </c>
    </row>
    <row r="47" customFormat="false" ht="54" hidden="false" customHeight="true" outlineLevel="0" collapsed="false">
      <c r="A47" s="35" t="s">
        <v>136</v>
      </c>
      <c r="B47" s="40" t="s">
        <v>168</v>
      </c>
    </row>
    <row r="48" customFormat="false" ht="297" hidden="false" customHeight="true" outlineLevel="0" collapsed="false">
      <c r="A48" s="35" t="s">
        <v>138</v>
      </c>
      <c r="B48" s="40" t="s">
        <v>169</v>
      </c>
    </row>
    <row r="49" customFormat="false" ht="204" hidden="false" customHeight="true" outlineLevel="0" collapsed="false">
      <c r="A49" s="41" t="s">
        <v>103</v>
      </c>
      <c r="B49" s="42" t="s">
        <v>170</v>
      </c>
    </row>
    <row r="51" customFormat="false" ht="15" hidden="false" customHeight="false" outlineLevel="0" collapsed="false">
      <c r="A51" s="39" t="s">
        <v>54</v>
      </c>
      <c r="B51" s="39"/>
    </row>
    <row r="52" customFormat="false" ht="175.5" hidden="false" customHeight="true" outlineLevel="0" collapsed="false">
      <c r="A52" s="35" t="s">
        <v>131</v>
      </c>
      <c r="B52" s="40" t="s">
        <v>171</v>
      </c>
    </row>
    <row r="53" customFormat="false" ht="189" hidden="false" customHeight="true" outlineLevel="0" collapsed="false">
      <c r="A53" s="35" t="s">
        <v>133</v>
      </c>
      <c r="B53" s="40" t="s">
        <v>172</v>
      </c>
    </row>
    <row r="54" customFormat="false" ht="135" hidden="false" customHeight="true" outlineLevel="0" collapsed="false">
      <c r="A54" s="35" t="s">
        <v>86</v>
      </c>
      <c r="B54" s="40" t="s">
        <v>173</v>
      </c>
    </row>
    <row r="55" customFormat="false" ht="40.5" hidden="false" customHeight="true" outlineLevel="0" collapsed="false">
      <c r="A55" s="35" t="s">
        <v>136</v>
      </c>
      <c r="B55" s="40" t="s">
        <v>174</v>
      </c>
    </row>
    <row r="56" customFormat="false" ht="297" hidden="false" customHeight="true" outlineLevel="0" collapsed="false">
      <c r="A56" s="35" t="s">
        <v>138</v>
      </c>
      <c r="B56" s="40" t="s">
        <v>175</v>
      </c>
    </row>
    <row r="57" customFormat="false" ht="204" hidden="false" customHeight="true" outlineLevel="0" collapsed="false">
      <c r="A57" s="41" t="s">
        <v>103</v>
      </c>
      <c r="B57" s="42" t="s">
        <v>176</v>
      </c>
    </row>
    <row r="59" customFormat="false" ht="15" hidden="false" customHeight="false" outlineLevel="0" collapsed="false">
      <c r="A59" s="39" t="s">
        <v>57</v>
      </c>
      <c r="B59" s="39"/>
    </row>
    <row r="60" customFormat="false" ht="135" hidden="false" customHeight="true" outlineLevel="0" collapsed="false">
      <c r="A60" s="35" t="s">
        <v>131</v>
      </c>
      <c r="B60" s="40" t="s">
        <v>177</v>
      </c>
    </row>
    <row r="61" customFormat="false" ht="175.5" hidden="false" customHeight="true" outlineLevel="0" collapsed="false">
      <c r="A61" s="35" t="s">
        <v>133</v>
      </c>
      <c r="B61" s="40" t="s">
        <v>178</v>
      </c>
    </row>
    <row r="62" customFormat="false" ht="135" hidden="false" customHeight="true" outlineLevel="0" collapsed="false">
      <c r="A62" s="35" t="s">
        <v>86</v>
      </c>
      <c r="B62" s="40" t="s">
        <v>179</v>
      </c>
    </row>
    <row r="63" customFormat="false" ht="54" hidden="false" customHeight="true" outlineLevel="0" collapsed="false">
      <c r="A63" s="35" t="s">
        <v>136</v>
      </c>
      <c r="B63" s="40" t="s">
        <v>180</v>
      </c>
    </row>
    <row r="64" customFormat="false" ht="283.5" hidden="false" customHeight="true" outlineLevel="0" collapsed="false">
      <c r="A64" s="35" t="s">
        <v>138</v>
      </c>
      <c r="B64" s="40" t="s">
        <v>181</v>
      </c>
    </row>
    <row r="65" customFormat="false" ht="204" hidden="false" customHeight="true" outlineLevel="0" collapsed="false">
      <c r="A65" s="41" t="s">
        <v>103</v>
      </c>
      <c r="B65" s="42" t="s">
        <v>182</v>
      </c>
    </row>
  </sheetData>
  <mergeCells count="9">
    <mergeCell ref="A1:B1"/>
    <mergeCell ref="A3:B3"/>
    <mergeCell ref="A11:B11"/>
    <mergeCell ref="A19:B19"/>
    <mergeCell ref="A27:B27"/>
    <mergeCell ref="A35:B35"/>
    <mergeCell ref="A43:B43"/>
    <mergeCell ref="A51:B51"/>
    <mergeCell ref="A59:B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2026-08-20T06:46:11Z</dcterms:created>
  <dc:creator>openpyxl</dc:creator>
  <dc:description/>
  <dc:language>en-US</dc:language>
  <cp:lastModifiedBy/>
  <dcterms:modified xsi:type="dcterms:W3CDTF">2026-08-20T06:46:13Z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